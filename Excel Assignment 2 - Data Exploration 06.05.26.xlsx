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 firstSheet="2" activeTab="5"/>
  </bookViews>
  <sheets>
    <sheet name="Missing Values" sheetId="3" r:id="rId1"/>
    <sheet name="Correcting Inconsistent Data" sheetId="4" r:id="rId2"/>
    <sheet name="Removing Duplicates" sheetId="5" r:id="rId3"/>
    <sheet name="Spitting &amp; Merging Data" sheetId="6" r:id="rId4"/>
    <sheet name="Number Formatting" sheetId="7" r:id="rId5"/>
    <sheet name="Conditional Formatting" sheetId="8" r:id="rId6"/>
    <sheet name="Dataset" sheetId="1" r:id="rId7"/>
  </sheets>
  <definedNames>
    <definedName name="_xlnm._FilterDatabase" localSheetId="1" hidden="1">'Correcting Inconsistent Data'!$A$1:$G$1</definedName>
    <definedName name="_xlnm._FilterDatabase" localSheetId="0" hidden="1">'Missing Values'!$A$1:$F$1</definedName>
  </definedNames>
  <calcPr calcId="152511"/>
  <fileRecoveryPr repairLoad="1"/>
  <extLst>
    <ext uri="GoogleSheetsCustomDataVersion2">
      <go:sheetsCustomData xmlns:go="http://customooxmlschemas.google.com/" r:id="rId8" roundtripDataChecksum="hJb8T1ZghnA6qFS/bC5j8xshLTM/vtIaNva7vzkMTCI="/>
    </ext>
  </extLst>
</workbook>
</file>

<file path=xl/calcChain.xml><?xml version="1.0" encoding="utf-8"?>
<calcChain xmlns="http://schemas.openxmlformats.org/spreadsheetml/2006/main">
  <c r="G23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4" i="7"/>
  <c r="G25" i="7"/>
  <c r="G26" i="7"/>
  <c r="G27" i="7"/>
  <c r="G28" i="7"/>
  <c r="G29" i="7"/>
  <c r="G30" i="7"/>
  <c r="G31" i="7"/>
  <c r="G32" i="7"/>
  <c r="G33" i="7"/>
  <c r="G34" i="7"/>
  <c r="G35" i="7"/>
  <c r="G2" i="7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2" i="6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D38" i="3" l="1"/>
  <c r="D37" i="3"/>
</calcChain>
</file>

<file path=xl/sharedStrings.xml><?xml version="1.0" encoding="utf-8"?>
<sst xmlns="http://schemas.openxmlformats.org/spreadsheetml/2006/main" count="1070" uniqueCount="134">
  <si>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</si>
  <si>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</si>
  <si>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</si>
  <si>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</si>
  <si>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</si>
  <si>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</si>
  <si>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</si>
  <si>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</si>
  <si>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</si>
  <si>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</si>
  <si>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</si>
  <si>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</si>
  <si>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</si>
  <si>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</si>
  <si>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</si>
  <si>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</si>
  <si>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</si>
  <si>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</si>
  <si>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</si>
  <si>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</si>
  <si>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</si>
  <si>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</si>
  <si>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</si>
  <si>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</si>
  <si>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</si>
  <si>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</si>
  <si>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</si>
  <si>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</si>
  <si>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</si>
  <si>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</si>
  <si>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</si>
  <si>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</si>
  <si>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</si>
  <si>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</si>
  <si>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</si>
  <si>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</si>
  <si>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</si>
  <si>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</si>
  <si>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</si>
  <si>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</si>
  <si>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</si>
  <si>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</si>
  <si>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</si>
  <si>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</si>
  <si>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</si>
  <si>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</si>
  <si>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</si>
  <si>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</si>
  <si>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</si>
  <si>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</si>
  <si>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</si>
  <si>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</si>
  <si>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</si>
  <si>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</si>
  <si>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</si>
  <si>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</si>
  <si>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</si>
  <si>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</si>
  <si>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</si>
  <si>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</si>
  <si>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</si>
  <si>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</si>
  <si>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</si>
  <si>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</si>
  <si>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</si>
  <si>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</si>
  <si>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</si>
  <si>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</si>
  <si>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</si>
  <si>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</si>
  <si>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</si>
  <si>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</si>
  <si>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</si>
  <si>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</si>
  <si>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</si>
  <si>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</si>
  <si>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</si>
  <si>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</si>
  <si>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</si>
  <si>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</si>
  <si>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</si>
  <si>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</si>
  <si>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</si>
  <si>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</si>
  <si>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</si>
  <si>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</si>
  <si>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</si>
  <si>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</si>
  <si>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</si>
  <si>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</si>
  <si>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</si>
  <si>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</si>
  <si>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</si>
  <si>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 USING COUNTBLANK FUN</t>
  </si>
  <si>
    <t>Handle products with missing price information using ISBLANK FUN</t>
  </si>
  <si>
    <t>If there are products with missing categories I will use IF(ISBLANK) FUN to deal with these missing values effectively.</t>
  </si>
  <si>
    <t>Identified the Inconsistent text formats in Product name column using EXACT PROPER Fun.</t>
  </si>
  <si>
    <t>Identified the typos in the Category column using TRIM PROPER Fun.</t>
  </si>
  <si>
    <t>Sun Glasses</t>
  </si>
  <si>
    <t>2 Duplicate rows Removed within the Datasetb using the Data - Remove Duplicates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</si>
  <si>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</si>
  <si>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</si>
  <si>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</si>
  <si>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</si>
  <si>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</si>
  <si>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</si>
  <si>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</si>
  <si>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</si>
  <si>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</si>
  <si>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</si>
  <si>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</si>
  <si>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</si>
  <si>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</si>
  <si>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</si>
  <si>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</si>
  <si>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</si>
  <si>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</si>
  <si>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</si>
  <si>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</si>
  <si>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</si>
  <si>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</si>
  <si>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</si>
  <si>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</si>
  <si>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</si>
  <si>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</si>
  <si>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</si>
  <si>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</si>
  <si>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Splitted the Product Id into 2 columns using DATA--TECT TO COLUMNS Option</t>
  </si>
  <si>
    <t>Merged the Brand name into 1 Column using the CONCATENATE Fun</t>
  </si>
  <si>
    <t>Formatted the Data Type of the Price column To Currency Format Using the Home--General to Currency Type.</t>
  </si>
  <si>
    <t>Applied Data Bar for  Scales Conditional Formatting in the Price Column.</t>
  </si>
  <si>
    <t>Created a Custom rule for Conditional Formatting in the Category Column to Highlight cells using Contional Formatting-- New Rule.</t>
  </si>
  <si>
    <t>DD-MM-YYYY</t>
  </si>
  <si>
    <t>Formatted the Manufacturing Date  column display dayes in DD-MM-YYYY Using Text(fun)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</si>
</sst>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s.&quot;#,##0.00"/>
    <numFmt numFmtId="167" formatCode="dd\-mm\-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4DD0E1"/>
      </patternFill>
    </fill>
    <fill>
      <patternFill patternType="solid">
        <fgColor theme="6" tint="0.79998168889431442"/>
        <bgColor rgb="FFE0F7FA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5" xfId="0" applyFont="1" applyBorder="1" applyAlignment="1"/>
    <xf numFmtId="0" fontId="0" fillId="0" borderId="4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4" fillId="5" borderId="2" xfId="0" applyFont="1" applyFill="1" applyBorder="1" applyAlignment="1"/>
    <xf numFmtId="0" fontId="0" fillId="5" borderId="2" xfId="0" applyFont="1" applyFill="1" applyBorder="1" applyAlignment="1"/>
    <xf numFmtId="0" fontId="0" fillId="5" borderId="3" xfId="0" applyFont="1" applyFill="1" applyBorder="1" applyAlignment="1"/>
    <xf numFmtId="0" fontId="4" fillId="5" borderId="0" xfId="0" applyFont="1" applyFill="1" applyBorder="1" applyAlignment="1">
      <alignment horizontal="right"/>
    </xf>
    <xf numFmtId="0" fontId="0" fillId="5" borderId="0" xfId="0" applyFont="1" applyFill="1" applyBorder="1" applyAlignment="1"/>
    <xf numFmtId="0" fontId="0" fillId="5" borderId="5" xfId="0" applyFont="1" applyFill="1" applyBorder="1" applyAlignment="1"/>
    <xf numFmtId="0" fontId="0" fillId="5" borderId="4" xfId="0" applyFont="1" applyFill="1" applyBorder="1" applyAlignment="1"/>
    <xf numFmtId="0" fontId="0" fillId="5" borderId="6" xfId="0" applyFont="1" applyFill="1" applyBorder="1" applyAlignment="1"/>
    <xf numFmtId="0" fontId="0" fillId="5" borderId="7" xfId="0" applyFont="1" applyFill="1" applyBorder="1" applyAlignment="1"/>
    <xf numFmtId="0" fontId="0" fillId="5" borderId="8" xfId="0" applyFont="1" applyFill="1" applyBorder="1" applyAlignment="1"/>
    <xf numFmtId="0" fontId="5" fillId="0" borderId="0" xfId="0" applyFont="1"/>
    <xf numFmtId="0" fontId="6" fillId="5" borderId="0" xfId="0" applyFont="1" applyFill="1"/>
    <xf numFmtId="0" fontId="7" fillId="5" borderId="0" xfId="0" applyFont="1" applyFill="1" applyAlignment="1"/>
    <xf numFmtId="0" fontId="4" fillId="5" borderId="9" xfId="0" applyFont="1" applyFill="1" applyBorder="1" applyAlignment="1"/>
    <xf numFmtId="0" fontId="4" fillId="5" borderId="10" xfId="0" applyFont="1" applyFill="1" applyBorder="1" applyAlignment="1"/>
    <xf numFmtId="0" fontId="4" fillId="5" borderId="11" xfId="0" applyFont="1" applyFill="1" applyBorder="1" applyAlignment="1"/>
    <xf numFmtId="0" fontId="6" fillId="6" borderId="0" xfId="0" applyFont="1" applyFill="1" applyAlignment="1">
      <alignment horizontal="center"/>
    </xf>
    <xf numFmtId="0" fontId="6" fillId="7" borderId="0" xfId="0" applyFont="1" applyFill="1"/>
    <xf numFmtId="0" fontId="6" fillId="5" borderId="0" xfId="0" applyFont="1" applyFill="1" applyAlignment="1">
      <alignment horizontal="center"/>
    </xf>
    <xf numFmtId="0" fontId="0" fillId="0" borderId="1" xfId="0" applyFont="1" applyBorder="1" applyAlignment="1"/>
    <xf numFmtId="0" fontId="8" fillId="5" borderId="4" xfId="0" applyFont="1" applyFill="1" applyBorder="1" applyAlignment="1"/>
    <xf numFmtId="0" fontId="8" fillId="5" borderId="0" xfId="0" applyFont="1" applyFill="1" applyBorder="1" applyAlignment="1"/>
    <xf numFmtId="0" fontId="8" fillId="5" borderId="5" xfId="0" applyFont="1" applyFill="1" applyBorder="1" applyAlignment="1"/>
    <xf numFmtId="164" fontId="0" fillId="0" borderId="0" xfId="0" applyNumberFormat="1" applyFont="1" applyAlignment="1"/>
    <xf numFmtId="164" fontId="6" fillId="6" borderId="0" xfId="0" applyNumberFormat="1" applyFont="1" applyFill="1" applyAlignment="1">
      <alignment horizontal="center"/>
    </xf>
    <xf numFmtId="164" fontId="6" fillId="5" borderId="0" xfId="0" applyNumberFormat="1" applyFont="1" applyFill="1"/>
    <xf numFmtId="164" fontId="6" fillId="7" borderId="0" xfId="0" applyNumberFormat="1" applyFont="1" applyFill="1"/>
    <xf numFmtId="14" fontId="2" fillId="0" borderId="0" xfId="0" applyNumberFormat="1" applyFont="1"/>
    <xf numFmtId="0" fontId="3" fillId="5" borderId="1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 wrapText="1"/>
    </xf>
    <xf numFmtId="0" fontId="3" fillId="5" borderId="0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 wrapText="1"/>
    </xf>
    <xf numFmtId="0" fontId="4" fillId="5" borderId="0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left" wrapText="1"/>
    </xf>
    <xf numFmtId="0" fontId="7" fillId="5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0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center" wrapText="1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3" borderId="0" xfId="0" applyNumberFormat="1" applyFont="1" applyFill="1"/>
    <xf numFmtId="0" fontId="0" fillId="0" borderId="0" xfId="0" applyNumberFormat="1" applyFont="1" applyAlignment="1"/>
    <xf numFmtId="167" fontId="2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opLeftCell="A25" workbookViewId="0">
      <selection activeCell="D38" sqref="D38"/>
    </sheetView>
  </sheetViews>
  <sheetFormatPr defaultColWidth="12.6328125" defaultRowHeight="15" customHeight="1" x14ac:dyDescent="0.25"/>
  <cols>
    <col min="2" max="2" width="14.08984375" customWidth="1"/>
    <col min="3" max="3" width="16.45312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8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8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8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8" ht="15.75" customHeight="1" thickBot="1" x14ac:dyDescent="0.3"/>
    <row r="37" spans="1:8" ht="23" customHeight="1" x14ac:dyDescent="0.3">
      <c r="B37" s="42" t="s">
        <v>93</v>
      </c>
      <c r="C37" s="43"/>
      <c r="D37" s="14">
        <f>COUNTBLANK(D2:D35)</f>
        <v>0</v>
      </c>
      <c r="E37" s="15"/>
      <c r="F37" s="15"/>
      <c r="G37" s="15"/>
      <c r="H37" s="16"/>
    </row>
    <row r="38" spans="1:8" ht="24" customHeight="1" x14ac:dyDescent="0.3">
      <c r="B38" s="44" t="s">
        <v>94</v>
      </c>
      <c r="C38" s="45"/>
      <c r="D38" s="17" t="b">
        <f>ISBLANK(D2:D35)</f>
        <v>0</v>
      </c>
      <c r="E38" s="18"/>
      <c r="F38" s="18"/>
      <c r="G38" s="18"/>
      <c r="H38" s="19"/>
    </row>
    <row r="39" spans="1:8" ht="15.75" customHeight="1" x14ac:dyDescent="0.25">
      <c r="B39" s="20"/>
      <c r="C39" s="18"/>
      <c r="D39" s="18"/>
      <c r="E39" s="18"/>
      <c r="F39" s="18"/>
      <c r="G39" s="18"/>
      <c r="H39" s="19"/>
    </row>
    <row r="40" spans="1:8" ht="15.75" customHeight="1" x14ac:dyDescent="0.25">
      <c r="B40" s="20"/>
      <c r="C40" s="18"/>
      <c r="D40" s="18"/>
      <c r="E40" s="18"/>
      <c r="F40" s="18"/>
      <c r="G40" s="18"/>
      <c r="H40" s="19"/>
    </row>
    <row r="41" spans="1:8" ht="35.5" customHeight="1" x14ac:dyDescent="0.3">
      <c r="B41" s="46" t="s">
        <v>95</v>
      </c>
      <c r="C41" s="47"/>
      <c r="D41" s="47"/>
      <c r="E41" s="47"/>
      <c r="F41" s="47"/>
      <c r="G41" s="47"/>
      <c r="H41" s="48"/>
    </row>
    <row r="42" spans="1:8" ht="15.75" customHeight="1" x14ac:dyDescent="0.25">
      <c r="B42" s="20"/>
      <c r="C42" s="18"/>
      <c r="D42" s="18"/>
      <c r="E42" s="18"/>
      <c r="F42" s="18"/>
      <c r="G42" s="18"/>
      <c r="H42" s="19"/>
    </row>
    <row r="43" spans="1:8" ht="15.75" customHeight="1" thickBot="1" x14ac:dyDescent="0.3">
      <c r="B43" s="21"/>
      <c r="C43" s="22"/>
      <c r="D43" s="22"/>
      <c r="E43" s="22"/>
      <c r="F43" s="22"/>
      <c r="G43" s="22"/>
      <c r="H43" s="23"/>
    </row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1"/>
  <mergeCells count="3">
    <mergeCell ref="B37:C37"/>
    <mergeCell ref="B38:C38"/>
    <mergeCell ref="B41:H41"/>
  </mergeCells>
  <conditionalFormatting sqref="D1:D40 D42:D1048576">
    <cfRule type="containsBlanks" priority="1">
      <formula>LEN(TRIM(D1))=0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B1" sqref="B1:B1048576"/>
    </sheetView>
  </sheetViews>
  <sheetFormatPr defaultColWidth="12.6328125" defaultRowHeight="15" customHeight="1" x14ac:dyDescent="0.25"/>
  <cols>
    <col min="2" max="3" width="14.08984375" customWidth="1"/>
  </cols>
  <sheetData>
    <row r="1" spans="1:8" ht="15.75" customHeigh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1:8" ht="15.75" customHeight="1" x14ac:dyDescent="0.3">
      <c r="A2" s="3" t="s">
        <v>6</v>
      </c>
      <c r="B2" s="3" t="s">
        <v>7</v>
      </c>
      <c r="C2" s="26" t="b">
        <f>EXACT(PROPER(B2), B2)</f>
        <v>1</v>
      </c>
      <c r="D2" s="3" t="s">
        <v>8</v>
      </c>
      <c r="E2" s="3">
        <v>1000</v>
      </c>
      <c r="F2" s="3">
        <v>30</v>
      </c>
      <c r="G2" s="3" t="s">
        <v>9</v>
      </c>
      <c r="H2" s="25" t="str">
        <f>TRIM(PROPER(G2))</f>
        <v>Electronics</v>
      </c>
    </row>
    <row r="3" spans="1:8" ht="15.75" customHeight="1" x14ac:dyDescent="0.3">
      <c r="A3" s="4" t="s">
        <v>10</v>
      </c>
      <c r="B3" s="4" t="s">
        <v>11</v>
      </c>
      <c r="C3" s="26" t="b">
        <f t="shared" ref="C3:C35" si="0">EXACT(PROPER(B3), B3)</f>
        <v>1</v>
      </c>
      <c r="D3" s="4" t="s">
        <v>12</v>
      </c>
      <c r="E3" s="4">
        <v>80</v>
      </c>
      <c r="F3" s="4">
        <v>15</v>
      </c>
      <c r="G3" s="4" t="s">
        <v>13</v>
      </c>
      <c r="H3" s="25" t="str">
        <f t="shared" ref="H3:H35" si="1">TRIM(PROPER(G3))</f>
        <v>Fashion</v>
      </c>
    </row>
    <row r="4" spans="1:8" ht="15.75" customHeight="1" x14ac:dyDescent="0.3">
      <c r="A4" s="3" t="s">
        <v>14</v>
      </c>
      <c r="B4" s="3" t="s">
        <v>15</v>
      </c>
      <c r="C4" s="26" t="b">
        <f t="shared" si="0"/>
        <v>1</v>
      </c>
      <c r="D4" s="3" t="s">
        <v>16</v>
      </c>
      <c r="E4" s="3">
        <v>130</v>
      </c>
      <c r="F4" s="3">
        <v>40</v>
      </c>
      <c r="G4" s="3" t="s">
        <v>17</v>
      </c>
      <c r="H4" s="25" t="str">
        <f t="shared" si="1"/>
        <v>Kitchen</v>
      </c>
    </row>
    <row r="5" spans="1:8" ht="15.75" customHeight="1" x14ac:dyDescent="0.3">
      <c r="A5" s="4" t="s">
        <v>18</v>
      </c>
      <c r="B5" s="4" t="s">
        <v>19</v>
      </c>
      <c r="C5" s="26" t="b">
        <f t="shared" si="0"/>
        <v>1</v>
      </c>
      <c r="D5" s="4" t="s">
        <v>20</v>
      </c>
      <c r="E5" s="4">
        <v>900</v>
      </c>
      <c r="F5" s="4">
        <v>25</v>
      </c>
      <c r="G5" s="4" t="s">
        <v>9</v>
      </c>
      <c r="H5" s="25" t="str">
        <f t="shared" si="1"/>
        <v>Electronics</v>
      </c>
    </row>
    <row r="6" spans="1:8" ht="15.75" customHeight="1" x14ac:dyDescent="0.3">
      <c r="A6" s="3" t="s">
        <v>21</v>
      </c>
      <c r="B6" s="3" t="s">
        <v>22</v>
      </c>
      <c r="C6" s="26" t="b">
        <f t="shared" si="0"/>
        <v>1</v>
      </c>
      <c r="D6" s="3" t="s">
        <v>23</v>
      </c>
      <c r="E6" s="3">
        <v>70</v>
      </c>
      <c r="F6" s="3">
        <v>20</v>
      </c>
      <c r="G6" s="3" t="s">
        <v>24</v>
      </c>
      <c r="H6" s="25" t="str">
        <f t="shared" si="1"/>
        <v>Outdoor</v>
      </c>
    </row>
    <row r="7" spans="1:8" ht="15.75" customHeight="1" x14ac:dyDescent="0.3">
      <c r="A7" s="4" t="s">
        <v>25</v>
      </c>
      <c r="B7" s="4" t="s">
        <v>26</v>
      </c>
      <c r="C7" s="26" t="b">
        <f t="shared" si="0"/>
        <v>1</v>
      </c>
      <c r="D7" s="4" t="s">
        <v>27</v>
      </c>
      <c r="E7" s="4">
        <v>200</v>
      </c>
      <c r="F7" s="4">
        <v>45</v>
      </c>
      <c r="G7" s="4" t="s">
        <v>9</v>
      </c>
      <c r="H7" s="25" t="str">
        <f t="shared" si="1"/>
        <v>Electronics</v>
      </c>
    </row>
    <row r="8" spans="1:8" ht="15.75" customHeight="1" x14ac:dyDescent="0.3">
      <c r="A8" s="3" t="s">
        <v>28</v>
      </c>
      <c r="B8" s="3" t="s">
        <v>29</v>
      </c>
      <c r="C8" s="26" t="b">
        <f t="shared" si="0"/>
        <v>0</v>
      </c>
      <c r="D8" s="3" t="s">
        <v>30</v>
      </c>
      <c r="E8" s="3">
        <v>30</v>
      </c>
      <c r="F8" s="3">
        <v>5</v>
      </c>
      <c r="G8" s="3" t="s">
        <v>13</v>
      </c>
      <c r="H8" s="25" t="str">
        <f t="shared" si="1"/>
        <v>Fashion</v>
      </c>
    </row>
    <row r="9" spans="1:8" ht="15.75" customHeight="1" x14ac:dyDescent="0.3">
      <c r="A9" s="4" t="s">
        <v>31</v>
      </c>
      <c r="B9" s="4" t="s">
        <v>32</v>
      </c>
      <c r="C9" s="26" t="b">
        <f t="shared" si="0"/>
        <v>1</v>
      </c>
      <c r="D9" s="4" t="s">
        <v>33</v>
      </c>
      <c r="E9" s="4">
        <v>90</v>
      </c>
      <c r="F9" s="4">
        <v>35</v>
      </c>
      <c r="G9" s="4" t="s">
        <v>17</v>
      </c>
      <c r="H9" s="25" t="str">
        <f t="shared" si="1"/>
        <v>Kitchen</v>
      </c>
    </row>
    <row r="10" spans="1:8" ht="15.75" customHeight="1" x14ac:dyDescent="0.3">
      <c r="A10" s="3" t="s">
        <v>34</v>
      </c>
      <c r="B10" s="3" t="s">
        <v>35</v>
      </c>
      <c r="C10" s="26" t="b">
        <f t="shared" si="0"/>
        <v>1</v>
      </c>
      <c r="D10" s="3" t="s">
        <v>36</v>
      </c>
      <c r="E10" s="3">
        <v>500</v>
      </c>
      <c r="F10" s="3">
        <v>50</v>
      </c>
      <c r="G10" s="3" t="s">
        <v>9</v>
      </c>
      <c r="H10" s="25" t="str">
        <f t="shared" si="1"/>
        <v>Electronics</v>
      </c>
    </row>
    <row r="11" spans="1:8" ht="15.75" customHeight="1" x14ac:dyDescent="0.3">
      <c r="A11" s="4" t="s">
        <v>37</v>
      </c>
      <c r="B11" s="4" t="s">
        <v>38</v>
      </c>
      <c r="C11" s="26" t="b">
        <f t="shared" si="0"/>
        <v>1</v>
      </c>
      <c r="D11" s="4" t="s">
        <v>39</v>
      </c>
      <c r="E11" s="4">
        <v>130</v>
      </c>
      <c r="F11" s="4">
        <v>10</v>
      </c>
      <c r="G11" s="4" t="s">
        <v>24</v>
      </c>
      <c r="H11" s="25" t="str">
        <f t="shared" si="1"/>
        <v>Outdoor</v>
      </c>
    </row>
    <row r="12" spans="1:8" ht="15.75" customHeight="1" x14ac:dyDescent="0.3">
      <c r="A12" s="3" t="s">
        <v>40</v>
      </c>
      <c r="B12" s="3" t="s">
        <v>7</v>
      </c>
      <c r="C12" s="26" t="b">
        <f t="shared" si="0"/>
        <v>1</v>
      </c>
      <c r="D12" s="3" t="s">
        <v>41</v>
      </c>
      <c r="E12" s="3">
        <v>950</v>
      </c>
      <c r="F12" s="3">
        <v>25</v>
      </c>
      <c r="G12" s="3" t="s">
        <v>9</v>
      </c>
      <c r="H12" s="25" t="str">
        <f t="shared" si="1"/>
        <v>Electronics</v>
      </c>
    </row>
    <row r="13" spans="1:8" ht="15.75" customHeight="1" x14ac:dyDescent="0.3">
      <c r="A13" s="4" t="s">
        <v>42</v>
      </c>
      <c r="B13" s="4" t="s">
        <v>11</v>
      </c>
      <c r="C13" s="26" t="b">
        <f t="shared" si="0"/>
        <v>1</v>
      </c>
      <c r="D13" s="4" t="s">
        <v>30</v>
      </c>
      <c r="E13" s="4">
        <v>90</v>
      </c>
      <c r="F13" s="4">
        <v>40</v>
      </c>
      <c r="G13" s="4" t="s">
        <v>13</v>
      </c>
      <c r="H13" s="25" t="str">
        <f t="shared" si="1"/>
        <v>Fashion</v>
      </c>
    </row>
    <row r="14" spans="1:8" ht="15.75" customHeight="1" x14ac:dyDescent="0.3">
      <c r="A14" s="3" t="s">
        <v>43</v>
      </c>
      <c r="B14" s="3" t="s">
        <v>15</v>
      </c>
      <c r="C14" s="26" t="b">
        <f t="shared" si="0"/>
        <v>1</v>
      </c>
      <c r="D14" s="3" t="s">
        <v>44</v>
      </c>
      <c r="E14" s="3">
        <v>120</v>
      </c>
      <c r="F14" s="3">
        <v>35</v>
      </c>
      <c r="G14" s="3" t="s">
        <v>17</v>
      </c>
      <c r="H14" s="25" t="str">
        <f t="shared" si="1"/>
        <v>Kitchen</v>
      </c>
    </row>
    <row r="15" spans="1:8" ht="15.75" customHeight="1" x14ac:dyDescent="0.3">
      <c r="A15" s="4" t="s">
        <v>45</v>
      </c>
      <c r="B15" s="4" t="s">
        <v>46</v>
      </c>
      <c r="C15" s="26" t="b">
        <f t="shared" si="0"/>
        <v>1</v>
      </c>
      <c r="D15" s="4" t="s">
        <v>47</v>
      </c>
      <c r="E15" s="4">
        <v>150</v>
      </c>
      <c r="F15" s="4">
        <v>15</v>
      </c>
      <c r="G15" s="4" t="s">
        <v>9</v>
      </c>
      <c r="H15" s="25" t="str">
        <f t="shared" si="1"/>
        <v>Electronics</v>
      </c>
    </row>
    <row r="16" spans="1:8" ht="15.75" customHeight="1" x14ac:dyDescent="0.3">
      <c r="A16" s="3" t="s">
        <v>48</v>
      </c>
      <c r="B16" s="3" t="s">
        <v>26</v>
      </c>
      <c r="C16" s="26" t="b">
        <f t="shared" si="0"/>
        <v>1</v>
      </c>
      <c r="D16" s="3" t="s">
        <v>49</v>
      </c>
      <c r="E16" s="3">
        <v>250</v>
      </c>
      <c r="F16" s="3">
        <v>20</v>
      </c>
      <c r="G16" s="3" t="s">
        <v>9</v>
      </c>
      <c r="H16" s="25" t="str">
        <f t="shared" si="1"/>
        <v>Electronics</v>
      </c>
    </row>
    <row r="17" spans="1:8" ht="15.75" customHeight="1" x14ac:dyDescent="0.3">
      <c r="A17" s="4" t="s">
        <v>50</v>
      </c>
      <c r="B17" s="4" t="s">
        <v>51</v>
      </c>
      <c r="C17" s="26" t="b">
        <f t="shared" si="0"/>
        <v>1</v>
      </c>
      <c r="D17" s="4" t="s">
        <v>52</v>
      </c>
      <c r="E17" s="4">
        <v>50</v>
      </c>
      <c r="F17" s="4">
        <v>35</v>
      </c>
      <c r="G17" s="4" t="s">
        <v>53</v>
      </c>
      <c r="H17" s="25" t="str">
        <f t="shared" si="1"/>
        <v>Accessories</v>
      </c>
    </row>
    <row r="18" spans="1:8" ht="15.75" customHeight="1" x14ac:dyDescent="0.3">
      <c r="A18" s="3" t="s">
        <v>54</v>
      </c>
      <c r="B18" s="3" t="s">
        <v>46</v>
      </c>
      <c r="C18" s="26" t="b">
        <f t="shared" si="0"/>
        <v>1</v>
      </c>
      <c r="D18" s="3" t="s">
        <v>55</v>
      </c>
      <c r="E18" s="3">
        <v>160</v>
      </c>
      <c r="F18" s="3">
        <v>15</v>
      </c>
      <c r="G18" s="3" t="s">
        <v>9</v>
      </c>
      <c r="H18" s="25" t="str">
        <f t="shared" si="1"/>
        <v>Electronics</v>
      </c>
    </row>
    <row r="19" spans="1:8" ht="15.75" customHeight="1" x14ac:dyDescent="0.3">
      <c r="A19" s="4" t="s">
        <v>56</v>
      </c>
      <c r="B19" s="4" t="s">
        <v>7</v>
      </c>
      <c r="C19" s="26" t="b">
        <f t="shared" si="0"/>
        <v>1</v>
      </c>
      <c r="D19" s="4" t="s">
        <v>57</v>
      </c>
      <c r="E19" s="4">
        <v>980</v>
      </c>
      <c r="F19" s="4">
        <v>10</v>
      </c>
      <c r="G19" s="4" t="s">
        <v>9</v>
      </c>
      <c r="H19" s="25" t="str">
        <f t="shared" si="1"/>
        <v>Electronics</v>
      </c>
    </row>
    <row r="20" spans="1:8" ht="15.75" customHeight="1" x14ac:dyDescent="0.3">
      <c r="A20" s="3" t="s">
        <v>58</v>
      </c>
      <c r="B20" s="3" t="s">
        <v>98</v>
      </c>
      <c r="C20" s="26" t="b">
        <f t="shared" si="0"/>
        <v>1</v>
      </c>
      <c r="D20" s="3" t="s">
        <v>60</v>
      </c>
      <c r="E20" s="3">
        <v>150</v>
      </c>
      <c r="F20" s="3">
        <v>15</v>
      </c>
      <c r="G20" s="3" t="s">
        <v>13</v>
      </c>
      <c r="H20" s="25" t="str">
        <f t="shared" si="1"/>
        <v>Fashion</v>
      </c>
    </row>
    <row r="21" spans="1:8" ht="15.75" customHeight="1" x14ac:dyDescent="0.3">
      <c r="A21" s="4" t="s">
        <v>61</v>
      </c>
      <c r="B21" s="4" t="s">
        <v>62</v>
      </c>
      <c r="C21" s="26" t="b">
        <f t="shared" si="0"/>
        <v>1</v>
      </c>
      <c r="D21" s="4" t="s">
        <v>63</v>
      </c>
      <c r="E21" s="4">
        <v>200</v>
      </c>
      <c r="F21" s="4">
        <v>10</v>
      </c>
      <c r="G21" s="4" t="s">
        <v>24</v>
      </c>
      <c r="H21" s="25" t="str">
        <f t="shared" si="1"/>
        <v>Outdoor</v>
      </c>
    </row>
    <row r="22" spans="1:8" ht="15.75" customHeight="1" x14ac:dyDescent="0.3">
      <c r="A22" s="3" t="s">
        <v>64</v>
      </c>
      <c r="B22" s="3" t="s">
        <v>65</v>
      </c>
      <c r="C22" s="26" t="b">
        <f t="shared" si="0"/>
        <v>1</v>
      </c>
      <c r="D22" s="3" t="s">
        <v>66</v>
      </c>
      <c r="E22" s="3">
        <v>700</v>
      </c>
      <c r="F22" s="3">
        <v>50</v>
      </c>
      <c r="G22" s="3" t="s">
        <v>9</v>
      </c>
      <c r="H22" s="25" t="str">
        <f t="shared" si="1"/>
        <v>Electronics</v>
      </c>
    </row>
    <row r="23" spans="1:8" ht="15.75" customHeight="1" x14ac:dyDescent="0.3">
      <c r="A23" s="4" t="s">
        <v>67</v>
      </c>
      <c r="B23" s="4" t="s">
        <v>68</v>
      </c>
      <c r="C23" s="26" t="b">
        <f t="shared" si="0"/>
        <v>1</v>
      </c>
      <c r="D23" s="4" t="s">
        <v>69</v>
      </c>
      <c r="E23" s="4">
        <v>80</v>
      </c>
      <c r="F23" s="4">
        <v>20</v>
      </c>
      <c r="G23" s="4" t="s">
        <v>17</v>
      </c>
      <c r="H23" s="25" t="str">
        <f t="shared" si="1"/>
        <v>Kitchen</v>
      </c>
    </row>
    <row r="24" spans="1:8" ht="15.75" customHeight="1" x14ac:dyDescent="0.3">
      <c r="A24" s="3" t="s">
        <v>70</v>
      </c>
      <c r="B24" s="24" t="s">
        <v>71</v>
      </c>
      <c r="C24" s="26" t="b">
        <f t="shared" si="0"/>
        <v>1</v>
      </c>
      <c r="D24" s="3" t="s">
        <v>72</v>
      </c>
      <c r="E24" s="3">
        <v>150</v>
      </c>
      <c r="F24" s="3">
        <v>30</v>
      </c>
      <c r="G24" s="3" t="s">
        <v>9</v>
      </c>
      <c r="H24" s="25" t="str">
        <f t="shared" si="1"/>
        <v>Electronics</v>
      </c>
    </row>
    <row r="25" spans="1:8" ht="15.75" customHeight="1" x14ac:dyDescent="0.3">
      <c r="A25" s="4" t="s">
        <v>50</v>
      </c>
      <c r="B25" s="4" t="s">
        <v>51</v>
      </c>
      <c r="C25" s="26" t="b">
        <f t="shared" si="0"/>
        <v>1</v>
      </c>
      <c r="D25" s="4" t="s">
        <v>52</v>
      </c>
      <c r="E25" s="4">
        <v>50</v>
      </c>
      <c r="F25" s="4">
        <v>35</v>
      </c>
      <c r="G25" s="4" t="s">
        <v>53</v>
      </c>
      <c r="H25" s="25" t="str">
        <f t="shared" si="1"/>
        <v>Accessories</v>
      </c>
    </row>
    <row r="26" spans="1:8" ht="15.75" customHeight="1" x14ac:dyDescent="0.3">
      <c r="A26" s="3" t="s">
        <v>73</v>
      </c>
      <c r="B26" s="3" t="s">
        <v>19</v>
      </c>
      <c r="C26" s="26" t="b">
        <f t="shared" si="0"/>
        <v>1</v>
      </c>
      <c r="D26" s="3" t="s">
        <v>74</v>
      </c>
      <c r="E26" s="3">
        <v>800</v>
      </c>
      <c r="F26" s="3">
        <v>45</v>
      </c>
      <c r="G26" s="3" t="s">
        <v>9</v>
      </c>
      <c r="H26" s="25" t="str">
        <f t="shared" si="1"/>
        <v>Electronics</v>
      </c>
    </row>
    <row r="27" spans="1:8" ht="15.75" customHeight="1" x14ac:dyDescent="0.3">
      <c r="A27" s="4" t="s">
        <v>75</v>
      </c>
      <c r="B27" s="4" t="s">
        <v>98</v>
      </c>
      <c r="C27" s="26" t="b">
        <f t="shared" si="0"/>
        <v>1</v>
      </c>
      <c r="D27" s="4" t="s">
        <v>76</v>
      </c>
      <c r="E27" s="4">
        <v>130</v>
      </c>
      <c r="F27" s="4">
        <v>25</v>
      </c>
      <c r="G27" s="4" t="s">
        <v>13</v>
      </c>
      <c r="H27" s="25" t="str">
        <f t="shared" si="1"/>
        <v>Fashion</v>
      </c>
    </row>
    <row r="28" spans="1:8" ht="15.75" customHeight="1" x14ac:dyDescent="0.3">
      <c r="A28" s="3" t="s">
        <v>77</v>
      </c>
      <c r="B28" s="3" t="s">
        <v>32</v>
      </c>
      <c r="C28" s="26" t="b">
        <f t="shared" si="0"/>
        <v>1</v>
      </c>
      <c r="D28" s="3" t="s">
        <v>78</v>
      </c>
      <c r="E28" s="3">
        <v>400</v>
      </c>
      <c r="F28" s="3">
        <v>40</v>
      </c>
      <c r="G28" s="3" t="s">
        <v>17</v>
      </c>
      <c r="H28" s="25" t="str">
        <f t="shared" si="1"/>
        <v>Kitchen</v>
      </c>
    </row>
    <row r="29" spans="1:8" ht="15.75" customHeight="1" x14ac:dyDescent="0.3">
      <c r="A29" s="4" t="s">
        <v>48</v>
      </c>
      <c r="B29" s="4" t="s">
        <v>26</v>
      </c>
      <c r="C29" s="26" t="b">
        <f t="shared" si="0"/>
        <v>1</v>
      </c>
      <c r="D29" s="4" t="s">
        <v>49</v>
      </c>
      <c r="E29" s="4">
        <v>230</v>
      </c>
      <c r="F29" s="4">
        <v>20</v>
      </c>
      <c r="G29" s="4" t="s">
        <v>9</v>
      </c>
      <c r="H29" s="25" t="str">
        <f t="shared" si="1"/>
        <v>Electronics</v>
      </c>
    </row>
    <row r="30" spans="1:8" ht="15.75" customHeight="1" x14ac:dyDescent="0.3">
      <c r="A30" s="3" t="s">
        <v>79</v>
      </c>
      <c r="B30" s="3" t="s">
        <v>80</v>
      </c>
      <c r="C30" s="26" t="b">
        <f t="shared" si="0"/>
        <v>1</v>
      </c>
      <c r="D30" s="3" t="s">
        <v>81</v>
      </c>
      <c r="E30" s="3">
        <v>60</v>
      </c>
      <c r="F30" s="3">
        <v>30</v>
      </c>
      <c r="G30" s="3" t="s">
        <v>13</v>
      </c>
      <c r="H30" s="25" t="str">
        <f t="shared" si="1"/>
        <v>Fashion</v>
      </c>
    </row>
    <row r="31" spans="1:8" ht="15.75" customHeight="1" x14ac:dyDescent="0.3">
      <c r="A31" s="4" t="s">
        <v>82</v>
      </c>
      <c r="B31" s="4" t="s">
        <v>83</v>
      </c>
      <c r="C31" s="26" t="b">
        <f t="shared" si="0"/>
        <v>1</v>
      </c>
      <c r="D31" s="4" t="s">
        <v>84</v>
      </c>
      <c r="E31" s="4">
        <v>40</v>
      </c>
      <c r="F31" s="4">
        <v>10</v>
      </c>
      <c r="G31" s="4" t="s">
        <v>17</v>
      </c>
      <c r="H31" s="25" t="str">
        <f t="shared" si="1"/>
        <v>Kitchen</v>
      </c>
    </row>
    <row r="32" spans="1:8" ht="15.75" customHeight="1" x14ac:dyDescent="0.3">
      <c r="A32" s="3" t="s">
        <v>85</v>
      </c>
      <c r="B32" s="3" t="s">
        <v>71</v>
      </c>
      <c r="C32" s="26" t="b">
        <f t="shared" si="0"/>
        <v>1</v>
      </c>
      <c r="D32" s="3" t="s">
        <v>86</v>
      </c>
      <c r="E32" s="3">
        <v>130</v>
      </c>
      <c r="F32" s="3">
        <v>5</v>
      </c>
      <c r="G32" s="3" t="s">
        <v>9</v>
      </c>
      <c r="H32" s="25" t="str">
        <f t="shared" si="1"/>
        <v>Electronics</v>
      </c>
    </row>
    <row r="33" spans="1:8" ht="15.75" customHeight="1" x14ac:dyDescent="0.3">
      <c r="A33" s="4" t="s">
        <v>87</v>
      </c>
      <c r="B33" s="4" t="s">
        <v>88</v>
      </c>
      <c r="C33" s="26" t="b">
        <f t="shared" si="0"/>
        <v>1</v>
      </c>
      <c r="D33" s="4" t="s">
        <v>89</v>
      </c>
      <c r="E33" s="4">
        <v>50</v>
      </c>
      <c r="F33" s="4">
        <v>50</v>
      </c>
      <c r="G33" s="4" t="s">
        <v>13</v>
      </c>
      <c r="H33" s="25" t="str">
        <f t="shared" si="1"/>
        <v>Fashion</v>
      </c>
    </row>
    <row r="34" spans="1:8" ht="15.75" customHeight="1" x14ac:dyDescent="0.3">
      <c r="A34" s="3" t="s">
        <v>40</v>
      </c>
      <c r="B34" s="3" t="s">
        <v>7</v>
      </c>
      <c r="C34" s="26" t="b">
        <f t="shared" si="0"/>
        <v>1</v>
      </c>
      <c r="D34" s="3" t="s">
        <v>41</v>
      </c>
      <c r="E34" s="3">
        <v>950</v>
      </c>
      <c r="F34" s="3">
        <v>25</v>
      </c>
      <c r="G34" s="3" t="s">
        <v>9</v>
      </c>
      <c r="H34" s="25" t="str">
        <f t="shared" si="1"/>
        <v>Electronics</v>
      </c>
    </row>
    <row r="35" spans="1:8" ht="15.75" customHeight="1" x14ac:dyDescent="0.3">
      <c r="A35" s="4" t="s">
        <v>90</v>
      </c>
      <c r="B35" s="4" t="s">
        <v>91</v>
      </c>
      <c r="C35" s="26" t="b">
        <f t="shared" si="0"/>
        <v>1</v>
      </c>
      <c r="D35" s="4" t="s">
        <v>92</v>
      </c>
      <c r="E35" s="4">
        <v>100</v>
      </c>
      <c r="F35" s="4">
        <v>20</v>
      </c>
      <c r="G35" s="4" t="s">
        <v>53</v>
      </c>
      <c r="H35" s="25" t="str">
        <f t="shared" si="1"/>
        <v>Accessories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>
      <c r="B39" s="49" t="s">
        <v>96</v>
      </c>
      <c r="C39" s="49"/>
      <c r="D39" s="49"/>
      <c r="E39" s="49"/>
      <c r="F39" s="49"/>
      <c r="G39" s="49"/>
    </row>
    <row r="40" spans="1:8" ht="15.75" customHeight="1" x14ac:dyDescent="0.25">
      <c r="B40" s="49" t="s">
        <v>97</v>
      </c>
      <c r="C40" s="49"/>
      <c r="D40" s="49"/>
      <c r="E40" s="49"/>
      <c r="F40" s="49"/>
      <c r="G40" s="49"/>
    </row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1"/>
  <mergeCells count="2">
    <mergeCell ref="B39:G39"/>
    <mergeCell ref="B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61" workbookViewId="0">
      <selection activeCell="J38" sqref="J38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3" t="s">
        <v>73</v>
      </c>
      <c r="B25" s="3" t="s">
        <v>19</v>
      </c>
      <c r="C25" s="3" t="s">
        <v>74</v>
      </c>
      <c r="D25" s="3">
        <v>800</v>
      </c>
      <c r="E25" s="3">
        <v>45</v>
      </c>
      <c r="F25" s="3" t="s">
        <v>9</v>
      </c>
      <c r="G25" s="5"/>
    </row>
    <row r="26" spans="1:7" ht="15.75" customHeight="1" x14ac:dyDescent="0.25">
      <c r="A26" s="4" t="s">
        <v>75</v>
      </c>
      <c r="B26" s="4" t="s">
        <v>59</v>
      </c>
      <c r="C26" s="4" t="s">
        <v>76</v>
      </c>
      <c r="D26" s="4">
        <v>130</v>
      </c>
      <c r="E26" s="4">
        <v>25</v>
      </c>
      <c r="F26" s="4" t="s">
        <v>13</v>
      </c>
      <c r="G26" s="3"/>
    </row>
    <row r="27" spans="1:7" ht="15.75" customHeight="1" x14ac:dyDescent="0.25">
      <c r="A27" s="3" t="s">
        <v>77</v>
      </c>
      <c r="B27" s="3" t="s">
        <v>32</v>
      </c>
      <c r="C27" s="3" t="s">
        <v>78</v>
      </c>
      <c r="D27" s="3">
        <v>400</v>
      </c>
      <c r="E27" s="3">
        <v>40</v>
      </c>
      <c r="F27" s="3" t="s">
        <v>17</v>
      </c>
      <c r="G27" s="3"/>
    </row>
    <row r="28" spans="1:7" ht="15.75" customHeight="1" x14ac:dyDescent="0.25">
      <c r="A28" s="4" t="s">
        <v>48</v>
      </c>
      <c r="B28" s="4" t="s">
        <v>26</v>
      </c>
      <c r="C28" s="4" t="s">
        <v>49</v>
      </c>
      <c r="D28" s="4">
        <v>230</v>
      </c>
      <c r="E28" s="4">
        <v>20</v>
      </c>
      <c r="F28" s="4" t="s">
        <v>9</v>
      </c>
      <c r="G28" s="3"/>
    </row>
    <row r="29" spans="1:7" ht="15.75" customHeight="1" x14ac:dyDescent="0.25">
      <c r="A29" s="3" t="s">
        <v>79</v>
      </c>
      <c r="B29" s="3" t="s">
        <v>80</v>
      </c>
      <c r="C29" s="3" t="s">
        <v>81</v>
      </c>
      <c r="D29" s="3">
        <v>60</v>
      </c>
      <c r="E29" s="3">
        <v>30</v>
      </c>
      <c r="F29" s="3" t="s">
        <v>13</v>
      </c>
      <c r="G29" s="5"/>
    </row>
    <row r="30" spans="1:7" ht="15.75" customHeight="1" x14ac:dyDescent="0.25">
      <c r="A30" s="4" t="s">
        <v>82</v>
      </c>
      <c r="B30" s="4" t="s">
        <v>83</v>
      </c>
      <c r="C30" s="4" t="s">
        <v>84</v>
      </c>
      <c r="D30" s="4">
        <v>40</v>
      </c>
      <c r="E30" s="4">
        <v>10</v>
      </c>
      <c r="F30" s="4" t="s">
        <v>17</v>
      </c>
      <c r="G30" s="3"/>
    </row>
    <row r="31" spans="1:7" ht="15.75" customHeight="1" x14ac:dyDescent="0.25">
      <c r="A31" s="3" t="s">
        <v>85</v>
      </c>
      <c r="B31" s="3" t="s">
        <v>71</v>
      </c>
      <c r="C31" s="3" t="s">
        <v>86</v>
      </c>
      <c r="D31" s="3">
        <v>130</v>
      </c>
      <c r="E31" s="3">
        <v>5</v>
      </c>
      <c r="F31" s="3" t="s">
        <v>9</v>
      </c>
      <c r="G31" s="3"/>
    </row>
    <row r="32" spans="1:7" ht="15.75" customHeight="1" x14ac:dyDescent="0.25">
      <c r="A32" s="4" t="s">
        <v>87</v>
      </c>
      <c r="B32" s="4" t="s">
        <v>88</v>
      </c>
      <c r="C32" s="4" t="s">
        <v>89</v>
      </c>
      <c r="D32" s="4">
        <v>50</v>
      </c>
      <c r="E32" s="4">
        <v>50</v>
      </c>
      <c r="F32" s="4" t="s">
        <v>13</v>
      </c>
      <c r="G32" s="3"/>
    </row>
    <row r="33" spans="1:7" ht="15.75" customHeight="1" x14ac:dyDescent="0.25">
      <c r="A33" s="4" t="s">
        <v>90</v>
      </c>
      <c r="B33" s="4" t="s">
        <v>91</v>
      </c>
      <c r="C33" s="4" t="s">
        <v>92</v>
      </c>
      <c r="D33" s="4">
        <v>100</v>
      </c>
      <c r="E33" s="4">
        <v>20</v>
      </c>
      <c r="F33" s="4" t="s">
        <v>53</v>
      </c>
      <c r="G33" s="3"/>
    </row>
    <row r="34" spans="1:7" ht="15.75" customHeight="1" x14ac:dyDescent="0.25">
      <c r="G34" s="3"/>
    </row>
    <row r="35" spans="1:7" ht="15.75" customHeight="1" thickBot="1" x14ac:dyDescent="0.3">
      <c r="G35" s="3"/>
    </row>
    <row r="36" spans="1:7" ht="15.75" customHeight="1" thickBot="1" x14ac:dyDescent="0.35">
      <c r="B36" s="27" t="s">
        <v>99</v>
      </c>
      <c r="C36" s="28"/>
      <c r="D36" s="28"/>
      <c r="E36" s="28"/>
      <c r="F36" s="28"/>
      <c r="G36" s="29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opLeftCell="A40" workbookViewId="0">
      <selection activeCell="K6" sqref="K6"/>
    </sheetView>
  </sheetViews>
  <sheetFormatPr defaultColWidth="12.6328125" defaultRowHeight="15" customHeight="1" x14ac:dyDescent="0.25"/>
  <cols>
    <col min="5" max="5" width="14.08984375" customWidth="1"/>
    <col min="10" max="10" width="24.08984375" customWidth="1"/>
  </cols>
  <sheetData>
    <row r="1" spans="1:10" ht="15.75" customHeight="1" x14ac:dyDescent="0.3">
      <c r="A1" s="1" t="s">
        <v>0</v>
      </c>
      <c r="B1" s="50" t="s">
        <v>100</v>
      </c>
      <c r="C1" s="50"/>
      <c r="D1" s="30" t="s">
        <v>101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32" t="s">
        <v>126</v>
      </c>
    </row>
    <row r="2" spans="1:10" ht="15.75" customHeight="1" x14ac:dyDescent="0.3">
      <c r="A2" s="3" t="s">
        <v>6</v>
      </c>
      <c r="B2" s="25">
        <v>28</v>
      </c>
      <c r="C2" s="25" t="s">
        <v>102</v>
      </c>
      <c r="D2" s="25" t="s">
        <v>103</v>
      </c>
      <c r="E2" s="3" t="s">
        <v>7</v>
      </c>
      <c r="F2" s="3" t="s">
        <v>8</v>
      </c>
      <c r="G2" s="3">
        <v>1000</v>
      </c>
      <c r="H2" s="3">
        <v>30</v>
      </c>
      <c r="I2" s="3" t="s">
        <v>9</v>
      </c>
      <c r="J2" s="25" t="str">
        <f>CONCATENATE(F2," ",E2)</f>
        <v>Dell Laptop</v>
      </c>
    </row>
    <row r="3" spans="1:10" ht="15.75" customHeight="1" x14ac:dyDescent="0.3">
      <c r="A3" s="4" t="s">
        <v>10</v>
      </c>
      <c r="B3" s="31">
        <v>15</v>
      </c>
      <c r="C3" s="31" t="s">
        <v>104</v>
      </c>
      <c r="D3" s="31" t="s">
        <v>103</v>
      </c>
      <c r="E3" s="4" t="s">
        <v>11</v>
      </c>
      <c r="F3" s="4" t="s">
        <v>12</v>
      </c>
      <c r="G3" s="4">
        <v>80</v>
      </c>
      <c r="H3" s="4">
        <v>15</v>
      </c>
      <c r="I3" s="4" t="s">
        <v>13</v>
      </c>
      <c r="J3" s="25" t="str">
        <f t="shared" ref="J3:J35" si="0">CONCATENATE(F3," ",E3)</f>
        <v>Nike Sneakers</v>
      </c>
    </row>
    <row r="4" spans="1:10" ht="15.75" customHeight="1" x14ac:dyDescent="0.3">
      <c r="A4" s="3" t="s">
        <v>14</v>
      </c>
      <c r="B4" s="25">
        <v>3</v>
      </c>
      <c r="C4" s="25" t="s">
        <v>105</v>
      </c>
      <c r="D4" s="25" t="s">
        <v>103</v>
      </c>
      <c r="E4" s="3" t="s">
        <v>15</v>
      </c>
      <c r="F4" s="3" t="s">
        <v>16</v>
      </c>
      <c r="G4" s="3">
        <v>130</v>
      </c>
      <c r="H4" s="3">
        <v>40</v>
      </c>
      <c r="I4" s="3" t="s">
        <v>17</v>
      </c>
      <c r="J4" s="25" t="str">
        <f t="shared" si="0"/>
        <v>Keurig Coffee Maker</v>
      </c>
    </row>
    <row r="5" spans="1:10" ht="15.75" customHeight="1" x14ac:dyDescent="0.3">
      <c r="A5" s="4" t="s">
        <v>18</v>
      </c>
      <c r="B5" s="31">
        <v>11</v>
      </c>
      <c r="C5" s="31" t="s">
        <v>106</v>
      </c>
      <c r="D5" s="31" t="s">
        <v>103</v>
      </c>
      <c r="E5" s="4" t="s">
        <v>19</v>
      </c>
      <c r="F5" s="4" t="s">
        <v>20</v>
      </c>
      <c r="G5" s="4">
        <v>900</v>
      </c>
      <c r="H5" s="4">
        <v>25</v>
      </c>
      <c r="I5" s="4" t="s">
        <v>9</v>
      </c>
      <c r="J5" s="25" t="str">
        <f t="shared" si="0"/>
        <v>Samsung Smartphone</v>
      </c>
    </row>
    <row r="6" spans="1:10" ht="15.75" customHeight="1" x14ac:dyDescent="0.3">
      <c r="A6" s="3" t="s">
        <v>21</v>
      </c>
      <c r="B6" s="25">
        <v>22</v>
      </c>
      <c r="C6" s="25" t="s">
        <v>107</v>
      </c>
      <c r="D6" s="25" t="s">
        <v>103</v>
      </c>
      <c r="E6" s="3" t="s">
        <v>22</v>
      </c>
      <c r="F6" s="3" t="s">
        <v>23</v>
      </c>
      <c r="G6" s="3">
        <v>70</v>
      </c>
      <c r="H6" s="3">
        <v>20</v>
      </c>
      <c r="I6" s="3" t="s">
        <v>24</v>
      </c>
      <c r="J6" s="25" t="str">
        <f t="shared" si="0"/>
        <v>North Face Backpack</v>
      </c>
    </row>
    <row r="7" spans="1:10" ht="15.75" customHeight="1" x14ac:dyDescent="0.3">
      <c r="A7" s="4" t="s">
        <v>25</v>
      </c>
      <c r="B7" s="31">
        <v>7</v>
      </c>
      <c r="C7" s="31" t="s">
        <v>108</v>
      </c>
      <c r="D7" s="31" t="s">
        <v>109</v>
      </c>
      <c r="E7" s="4" t="s">
        <v>26</v>
      </c>
      <c r="F7" s="4" t="s">
        <v>27</v>
      </c>
      <c r="G7" s="4">
        <v>200</v>
      </c>
      <c r="H7" s="4">
        <v>45</v>
      </c>
      <c r="I7" s="4" t="s">
        <v>9</v>
      </c>
      <c r="J7" s="25" t="str">
        <f t="shared" si="0"/>
        <v>Sony Headphones</v>
      </c>
    </row>
    <row r="8" spans="1:10" ht="15.75" customHeight="1" x14ac:dyDescent="0.3">
      <c r="A8" s="3" t="s">
        <v>28</v>
      </c>
      <c r="B8" s="25">
        <v>19</v>
      </c>
      <c r="C8" s="25" t="s">
        <v>110</v>
      </c>
      <c r="D8" s="25" t="s">
        <v>109</v>
      </c>
      <c r="E8" s="3" t="s">
        <v>29</v>
      </c>
      <c r="F8" s="3" t="s">
        <v>30</v>
      </c>
      <c r="G8" s="3">
        <v>30</v>
      </c>
      <c r="H8" s="3">
        <v>5</v>
      </c>
      <c r="I8" s="3" t="s">
        <v>13</v>
      </c>
      <c r="J8" s="25" t="str">
        <f t="shared" si="0"/>
        <v>Adidas T-shirt</v>
      </c>
    </row>
    <row r="9" spans="1:10" ht="15.75" customHeight="1" x14ac:dyDescent="0.3">
      <c r="A9" s="4" t="s">
        <v>31</v>
      </c>
      <c r="B9" s="31">
        <v>23</v>
      </c>
      <c r="C9" s="31" t="s">
        <v>111</v>
      </c>
      <c r="D9" s="31" t="s">
        <v>109</v>
      </c>
      <c r="E9" s="4" t="s">
        <v>32</v>
      </c>
      <c r="F9" s="4" t="s">
        <v>33</v>
      </c>
      <c r="G9" s="4">
        <v>90</v>
      </c>
      <c r="H9" s="4">
        <v>35</v>
      </c>
      <c r="I9" s="4" t="s">
        <v>17</v>
      </c>
      <c r="J9" s="25" t="str">
        <f t="shared" si="0"/>
        <v>Ninja Blender</v>
      </c>
    </row>
    <row r="10" spans="1:10" ht="15.75" customHeight="1" x14ac:dyDescent="0.3">
      <c r="A10" s="3" t="s">
        <v>34</v>
      </c>
      <c r="B10" s="25">
        <v>5</v>
      </c>
      <c r="C10" s="25" t="s">
        <v>112</v>
      </c>
      <c r="D10" s="25" t="s">
        <v>109</v>
      </c>
      <c r="E10" s="3" t="s">
        <v>35</v>
      </c>
      <c r="F10" s="3" t="s">
        <v>36</v>
      </c>
      <c r="G10" s="3">
        <v>500</v>
      </c>
      <c r="H10" s="3">
        <v>50</v>
      </c>
      <c r="I10" s="3" t="s">
        <v>9</v>
      </c>
      <c r="J10" s="25" t="str">
        <f t="shared" si="0"/>
        <v>Apple Tablet</v>
      </c>
    </row>
    <row r="11" spans="1:10" ht="15.75" customHeight="1" x14ac:dyDescent="0.3">
      <c r="A11" s="4" t="s">
        <v>37</v>
      </c>
      <c r="B11" s="31">
        <v>14</v>
      </c>
      <c r="C11" s="31" t="s">
        <v>113</v>
      </c>
      <c r="D11" s="31" t="s">
        <v>109</v>
      </c>
      <c r="E11" s="4" t="s">
        <v>38</v>
      </c>
      <c r="F11" s="4" t="s">
        <v>39</v>
      </c>
      <c r="G11" s="4">
        <v>130</v>
      </c>
      <c r="H11" s="4">
        <v>10</v>
      </c>
      <c r="I11" s="4" t="s">
        <v>24</v>
      </c>
      <c r="J11" s="25" t="str">
        <f t="shared" si="0"/>
        <v>Timberland Hiking Boots</v>
      </c>
    </row>
    <row r="12" spans="1:10" ht="15.75" customHeight="1" x14ac:dyDescent="0.3">
      <c r="A12" s="3" t="s">
        <v>40</v>
      </c>
      <c r="B12" s="25">
        <v>17</v>
      </c>
      <c r="C12" s="25" t="s">
        <v>108</v>
      </c>
      <c r="D12" s="25" t="s">
        <v>114</v>
      </c>
      <c r="E12" s="3" t="s">
        <v>7</v>
      </c>
      <c r="F12" s="3" t="s">
        <v>41</v>
      </c>
      <c r="G12" s="3">
        <v>950</v>
      </c>
      <c r="H12" s="3">
        <v>25</v>
      </c>
      <c r="I12" s="3" t="s">
        <v>9</v>
      </c>
      <c r="J12" s="25" t="str">
        <f t="shared" si="0"/>
        <v>HP Laptop</v>
      </c>
    </row>
    <row r="13" spans="1:10" ht="15.75" customHeight="1" x14ac:dyDescent="0.3">
      <c r="A13" s="4" t="s">
        <v>42</v>
      </c>
      <c r="B13" s="31">
        <v>25</v>
      </c>
      <c r="C13" s="31" t="s">
        <v>115</v>
      </c>
      <c r="D13" s="31" t="s">
        <v>116</v>
      </c>
      <c r="E13" s="4" t="s">
        <v>11</v>
      </c>
      <c r="F13" s="4" t="s">
        <v>30</v>
      </c>
      <c r="G13" s="4">
        <v>90</v>
      </c>
      <c r="H13" s="4">
        <v>40</v>
      </c>
      <c r="I13" s="4" t="s">
        <v>13</v>
      </c>
      <c r="J13" s="25" t="str">
        <f t="shared" si="0"/>
        <v>Adidas Sneakers</v>
      </c>
    </row>
    <row r="14" spans="1:10" ht="15.75" customHeight="1" x14ac:dyDescent="0.3">
      <c r="A14" s="3" t="s">
        <v>43</v>
      </c>
      <c r="B14" s="25">
        <v>8</v>
      </c>
      <c r="C14" s="25" t="s">
        <v>117</v>
      </c>
      <c r="D14" s="25" t="s">
        <v>118</v>
      </c>
      <c r="E14" s="3" t="s">
        <v>15</v>
      </c>
      <c r="F14" s="3" t="s">
        <v>44</v>
      </c>
      <c r="G14" s="3">
        <v>120</v>
      </c>
      <c r="H14" s="3">
        <v>35</v>
      </c>
      <c r="I14" s="3" t="s">
        <v>17</v>
      </c>
      <c r="J14" s="25" t="str">
        <f t="shared" si="0"/>
        <v>Nespresso Coffee Maker</v>
      </c>
    </row>
    <row r="15" spans="1:10" ht="15.75" customHeight="1" x14ac:dyDescent="0.3">
      <c r="A15" s="4" t="s">
        <v>45</v>
      </c>
      <c r="B15" s="31">
        <v>18</v>
      </c>
      <c r="C15" s="31" t="s">
        <v>104</v>
      </c>
      <c r="D15" s="31" t="s">
        <v>119</v>
      </c>
      <c r="E15" s="4" t="s">
        <v>46</v>
      </c>
      <c r="F15" s="4" t="s">
        <v>47</v>
      </c>
      <c r="G15" s="4">
        <v>150</v>
      </c>
      <c r="H15" s="4">
        <v>15</v>
      </c>
      <c r="I15" s="4" t="s">
        <v>9</v>
      </c>
      <c r="J15" s="25" t="str">
        <f t="shared" si="0"/>
        <v>Fitbit Smartwatch</v>
      </c>
    </row>
    <row r="16" spans="1:10" ht="15.75" customHeight="1" x14ac:dyDescent="0.3">
      <c r="A16" s="3" t="s">
        <v>48</v>
      </c>
      <c r="B16" s="25">
        <v>16</v>
      </c>
      <c r="C16" s="25" t="s">
        <v>106</v>
      </c>
      <c r="D16" s="25" t="s">
        <v>120</v>
      </c>
      <c r="E16" s="3" t="s">
        <v>26</v>
      </c>
      <c r="F16" s="3" t="s">
        <v>49</v>
      </c>
      <c r="G16" s="3">
        <v>250</v>
      </c>
      <c r="H16" s="3">
        <v>20</v>
      </c>
      <c r="I16" s="3" t="s">
        <v>9</v>
      </c>
      <c r="J16" s="25" t="str">
        <f t="shared" si="0"/>
        <v>Bose Headphones</v>
      </c>
    </row>
    <row r="17" spans="1:10" ht="15.75" customHeight="1" x14ac:dyDescent="0.3">
      <c r="A17" s="4" t="s">
        <v>50</v>
      </c>
      <c r="B17" s="31">
        <v>21</v>
      </c>
      <c r="C17" s="31" t="s">
        <v>111</v>
      </c>
      <c r="D17" s="31" t="s">
        <v>119</v>
      </c>
      <c r="E17" s="4" t="s">
        <v>51</v>
      </c>
      <c r="F17" s="4" t="s">
        <v>52</v>
      </c>
      <c r="G17" s="4">
        <v>50</v>
      </c>
      <c r="H17" s="4">
        <v>35</v>
      </c>
      <c r="I17" s="4" t="s">
        <v>53</v>
      </c>
      <c r="J17" s="25" t="str">
        <f t="shared" si="0"/>
        <v>Samsonite Laptop Bag</v>
      </c>
    </row>
    <row r="18" spans="1:10" ht="15.75" customHeight="1" x14ac:dyDescent="0.3">
      <c r="A18" s="3" t="s">
        <v>54</v>
      </c>
      <c r="B18" s="25">
        <v>20</v>
      </c>
      <c r="C18" s="25" t="s">
        <v>111</v>
      </c>
      <c r="D18" s="25" t="s">
        <v>121</v>
      </c>
      <c r="E18" s="3" t="s">
        <v>46</v>
      </c>
      <c r="F18" s="3" t="s">
        <v>55</v>
      </c>
      <c r="G18" s="3">
        <v>160</v>
      </c>
      <c r="H18" s="3">
        <v>15</v>
      </c>
      <c r="I18" s="3" t="s">
        <v>9</v>
      </c>
      <c r="J18" s="25" t="str">
        <f t="shared" si="0"/>
        <v>Huawei Smartwatch</v>
      </c>
    </row>
    <row r="19" spans="1:10" ht="15.75" customHeight="1" x14ac:dyDescent="0.3">
      <c r="A19" s="4" t="s">
        <v>56</v>
      </c>
      <c r="B19" s="31">
        <v>27</v>
      </c>
      <c r="C19" s="31" t="s">
        <v>102</v>
      </c>
      <c r="D19" s="31" t="s">
        <v>122</v>
      </c>
      <c r="E19" s="4" t="s">
        <v>7</v>
      </c>
      <c r="F19" s="4" t="s">
        <v>57</v>
      </c>
      <c r="G19" s="4">
        <v>980</v>
      </c>
      <c r="H19" s="4">
        <v>10</v>
      </c>
      <c r="I19" s="4" t="s">
        <v>9</v>
      </c>
      <c r="J19" s="25" t="str">
        <f t="shared" si="0"/>
        <v>Asus Laptop</v>
      </c>
    </row>
    <row r="20" spans="1:10" ht="15.75" customHeight="1" x14ac:dyDescent="0.3">
      <c r="A20" s="3" t="s">
        <v>58</v>
      </c>
      <c r="B20" s="25">
        <v>1</v>
      </c>
      <c r="C20" s="25" t="s">
        <v>105</v>
      </c>
      <c r="D20" s="25" t="s">
        <v>109</v>
      </c>
      <c r="E20" s="3" t="s">
        <v>59</v>
      </c>
      <c r="F20" s="3" t="s">
        <v>60</v>
      </c>
      <c r="G20" s="3">
        <v>150</v>
      </c>
      <c r="H20" s="3">
        <v>15</v>
      </c>
      <c r="I20" s="3" t="s">
        <v>13</v>
      </c>
      <c r="J20" s="25" t="str">
        <f t="shared" si="0"/>
        <v>Oakley Sunglasses</v>
      </c>
    </row>
    <row r="21" spans="1:10" ht="15.75" customHeight="1" x14ac:dyDescent="0.3">
      <c r="A21" s="4" t="s">
        <v>61</v>
      </c>
      <c r="B21" s="31">
        <v>14</v>
      </c>
      <c r="C21" s="31" t="s">
        <v>111</v>
      </c>
      <c r="D21" s="31" t="s">
        <v>103</v>
      </c>
      <c r="E21" s="4" t="s">
        <v>62</v>
      </c>
      <c r="F21" s="4" t="s">
        <v>63</v>
      </c>
      <c r="G21" s="4">
        <v>200</v>
      </c>
      <c r="H21" s="4">
        <v>10</v>
      </c>
      <c r="I21" s="4" t="s">
        <v>24</v>
      </c>
      <c r="J21" s="25" t="str">
        <f t="shared" si="0"/>
        <v>Coleman Camping Tent</v>
      </c>
    </row>
    <row r="22" spans="1:10" ht="15.75" customHeight="1" x14ac:dyDescent="0.3">
      <c r="A22" s="3" t="s">
        <v>64</v>
      </c>
      <c r="B22" s="25">
        <v>14</v>
      </c>
      <c r="C22" s="25" t="s">
        <v>107</v>
      </c>
      <c r="D22" s="25" t="s">
        <v>123</v>
      </c>
      <c r="E22" s="3" t="s">
        <v>65</v>
      </c>
      <c r="F22" s="3" t="s">
        <v>66</v>
      </c>
      <c r="G22" s="3">
        <v>700</v>
      </c>
      <c r="H22" s="3">
        <v>50</v>
      </c>
      <c r="I22" s="3" t="s">
        <v>9</v>
      </c>
      <c r="J22" s="25" t="str">
        <f t="shared" si="0"/>
        <v>Nikon Camera</v>
      </c>
    </row>
    <row r="23" spans="1:10" ht="15.75" customHeight="1" x14ac:dyDescent="0.3">
      <c r="A23" s="4" t="s">
        <v>67</v>
      </c>
      <c r="B23" s="31">
        <v>9</v>
      </c>
      <c r="C23" s="31" t="s">
        <v>102</v>
      </c>
      <c r="D23" s="31" t="s">
        <v>119</v>
      </c>
      <c r="E23" s="4" t="s">
        <v>68</v>
      </c>
      <c r="F23" s="4" t="s">
        <v>69</v>
      </c>
      <c r="G23" s="4">
        <v>80</v>
      </c>
      <c r="H23" s="4">
        <v>20</v>
      </c>
      <c r="I23" s="4" t="s">
        <v>17</v>
      </c>
      <c r="J23" s="25" t="str">
        <f t="shared" si="0"/>
        <v>Panasonic Microwave</v>
      </c>
    </row>
    <row r="24" spans="1:10" ht="15.75" customHeight="1" x14ac:dyDescent="0.3">
      <c r="A24" s="3" t="s">
        <v>70</v>
      </c>
      <c r="B24" s="25">
        <v>19</v>
      </c>
      <c r="C24" s="25" t="s">
        <v>110</v>
      </c>
      <c r="D24" s="25" t="s">
        <v>124</v>
      </c>
      <c r="E24" s="3" t="s">
        <v>71</v>
      </c>
      <c r="F24" s="3" t="s">
        <v>72</v>
      </c>
      <c r="G24" s="3">
        <v>150</v>
      </c>
      <c r="H24" s="3">
        <v>30</v>
      </c>
      <c r="I24" s="3" t="s">
        <v>9</v>
      </c>
      <c r="J24" s="25" t="str">
        <f t="shared" si="0"/>
        <v>Xiaomi Fitness Tracker</v>
      </c>
    </row>
    <row r="25" spans="1:10" ht="15.75" customHeight="1" x14ac:dyDescent="0.3">
      <c r="A25" s="4" t="s">
        <v>50</v>
      </c>
      <c r="B25" s="31">
        <v>21</v>
      </c>
      <c r="C25" s="31" t="s">
        <v>111</v>
      </c>
      <c r="D25" s="31" t="s">
        <v>119</v>
      </c>
      <c r="E25" s="4" t="s">
        <v>51</v>
      </c>
      <c r="F25" s="4" t="s">
        <v>52</v>
      </c>
      <c r="G25" s="4">
        <v>50</v>
      </c>
      <c r="H25" s="4">
        <v>35</v>
      </c>
      <c r="I25" s="4" t="s">
        <v>53</v>
      </c>
      <c r="J25" s="25" t="str">
        <f t="shared" si="0"/>
        <v>Samsonite Laptop Bag</v>
      </c>
    </row>
    <row r="26" spans="1:10" ht="15.75" customHeight="1" x14ac:dyDescent="0.3">
      <c r="A26" s="3" t="s">
        <v>73</v>
      </c>
      <c r="B26" s="25">
        <v>29</v>
      </c>
      <c r="C26" s="25" t="s">
        <v>112</v>
      </c>
      <c r="D26" s="25" t="s">
        <v>119</v>
      </c>
      <c r="E26" s="3" t="s">
        <v>19</v>
      </c>
      <c r="F26" s="3" t="s">
        <v>74</v>
      </c>
      <c r="G26" s="3">
        <v>800</v>
      </c>
      <c r="H26" s="3">
        <v>45</v>
      </c>
      <c r="I26" s="3" t="s">
        <v>9</v>
      </c>
      <c r="J26" s="25" t="str">
        <f t="shared" si="0"/>
        <v>Google Smartphone</v>
      </c>
    </row>
    <row r="27" spans="1:10" ht="15.75" customHeight="1" x14ac:dyDescent="0.3">
      <c r="A27" s="4" t="s">
        <v>75</v>
      </c>
      <c r="B27" s="31">
        <v>3</v>
      </c>
      <c r="C27" s="31" t="s">
        <v>108</v>
      </c>
      <c r="D27" s="31" t="s">
        <v>119</v>
      </c>
      <c r="E27" s="4" t="s">
        <v>59</v>
      </c>
      <c r="F27" s="4" t="s">
        <v>76</v>
      </c>
      <c r="G27" s="4">
        <v>130</v>
      </c>
      <c r="H27" s="4">
        <v>25</v>
      </c>
      <c r="I27" s="4" t="s">
        <v>13</v>
      </c>
      <c r="J27" s="25" t="str">
        <f t="shared" si="0"/>
        <v>Ray-Ban Sunglasses</v>
      </c>
    </row>
    <row r="28" spans="1:10" ht="15.75" customHeight="1" x14ac:dyDescent="0.3">
      <c r="A28" s="3" t="s">
        <v>77</v>
      </c>
      <c r="B28" s="25">
        <v>11</v>
      </c>
      <c r="C28" s="25" t="s">
        <v>110</v>
      </c>
      <c r="D28" s="25" t="s">
        <v>119</v>
      </c>
      <c r="E28" s="3" t="s">
        <v>32</v>
      </c>
      <c r="F28" s="3" t="s">
        <v>78</v>
      </c>
      <c r="G28" s="3">
        <v>400</v>
      </c>
      <c r="H28" s="3">
        <v>40</v>
      </c>
      <c r="I28" s="3" t="s">
        <v>17</v>
      </c>
      <c r="J28" s="25" t="str">
        <f t="shared" si="0"/>
        <v>Vitamix Blender</v>
      </c>
    </row>
    <row r="29" spans="1:10" ht="15.75" customHeight="1" x14ac:dyDescent="0.3">
      <c r="A29" s="4" t="s">
        <v>48</v>
      </c>
      <c r="B29" s="31">
        <v>16</v>
      </c>
      <c r="C29" s="31" t="s">
        <v>106</v>
      </c>
      <c r="D29" s="31" t="s">
        <v>120</v>
      </c>
      <c r="E29" s="4" t="s">
        <v>26</v>
      </c>
      <c r="F29" s="4" t="s">
        <v>49</v>
      </c>
      <c r="G29" s="4">
        <v>230</v>
      </c>
      <c r="H29" s="4">
        <v>20</v>
      </c>
      <c r="I29" s="4" t="s">
        <v>9</v>
      </c>
      <c r="J29" s="25" t="str">
        <f t="shared" si="0"/>
        <v>Bose Headphones</v>
      </c>
    </row>
    <row r="30" spans="1:10" ht="15.75" customHeight="1" x14ac:dyDescent="0.3">
      <c r="A30" s="3" t="s">
        <v>79</v>
      </c>
      <c r="B30" s="25">
        <v>7</v>
      </c>
      <c r="C30" s="25" t="s">
        <v>105</v>
      </c>
      <c r="D30" s="25" t="s">
        <v>119</v>
      </c>
      <c r="E30" s="3" t="s">
        <v>80</v>
      </c>
      <c r="F30" s="3" t="s">
        <v>81</v>
      </c>
      <c r="G30" s="3">
        <v>60</v>
      </c>
      <c r="H30" s="3">
        <v>30</v>
      </c>
      <c r="I30" s="3" t="s">
        <v>13</v>
      </c>
      <c r="J30" s="25" t="str">
        <f t="shared" si="0"/>
        <v>Zara Dress</v>
      </c>
    </row>
    <row r="31" spans="1:10" ht="15.75" customHeight="1" x14ac:dyDescent="0.3">
      <c r="A31" s="4" t="s">
        <v>82</v>
      </c>
      <c r="B31" s="31">
        <v>13</v>
      </c>
      <c r="C31" s="31" t="s">
        <v>106</v>
      </c>
      <c r="D31" s="31" t="s">
        <v>119</v>
      </c>
      <c r="E31" s="4" t="s">
        <v>83</v>
      </c>
      <c r="F31" s="4" t="s">
        <v>84</v>
      </c>
      <c r="G31" s="4">
        <v>40</v>
      </c>
      <c r="H31" s="4">
        <v>10</v>
      </c>
      <c r="I31" s="4" t="s">
        <v>17</v>
      </c>
      <c r="J31" s="25" t="str">
        <f t="shared" si="0"/>
        <v>Hamilton Toaster</v>
      </c>
    </row>
    <row r="32" spans="1:10" ht="15.75" customHeight="1" x14ac:dyDescent="0.3">
      <c r="A32" s="3" t="s">
        <v>85</v>
      </c>
      <c r="B32" s="25">
        <v>24</v>
      </c>
      <c r="C32" s="25" t="s">
        <v>107</v>
      </c>
      <c r="D32" s="25" t="s">
        <v>119</v>
      </c>
      <c r="E32" s="3" t="s">
        <v>71</v>
      </c>
      <c r="F32" s="3" t="s">
        <v>86</v>
      </c>
      <c r="G32" s="3">
        <v>130</v>
      </c>
      <c r="H32" s="3">
        <v>5</v>
      </c>
      <c r="I32" s="3" t="s">
        <v>9</v>
      </c>
      <c r="J32" s="25" t="str">
        <f t="shared" si="0"/>
        <v>Garmin Fitness Tracker</v>
      </c>
    </row>
    <row r="33" spans="1:10" ht="15.75" customHeight="1" x14ac:dyDescent="0.3">
      <c r="A33" s="4" t="s">
        <v>87</v>
      </c>
      <c r="B33" s="31">
        <v>2</v>
      </c>
      <c r="C33" s="31" t="s">
        <v>117</v>
      </c>
      <c r="D33" s="31" t="s">
        <v>119</v>
      </c>
      <c r="E33" s="4" t="s">
        <v>88</v>
      </c>
      <c r="F33" s="4" t="s">
        <v>89</v>
      </c>
      <c r="G33" s="4">
        <v>50</v>
      </c>
      <c r="H33" s="4">
        <v>50</v>
      </c>
      <c r="I33" s="4" t="s">
        <v>13</v>
      </c>
      <c r="J33" s="25" t="str">
        <f t="shared" si="0"/>
        <v>Levi's Jeans</v>
      </c>
    </row>
    <row r="34" spans="1:10" ht="15.75" customHeight="1" x14ac:dyDescent="0.3">
      <c r="A34" s="3" t="s">
        <v>40</v>
      </c>
      <c r="B34" s="25">
        <v>17</v>
      </c>
      <c r="C34" s="25" t="s">
        <v>108</v>
      </c>
      <c r="D34" s="25" t="s">
        <v>114</v>
      </c>
      <c r="E34" s="3" t="s">
        <v>7</v>
      </c>
      <c r="F34" s="3" t="s">
        <v>41</v>
      </c>
      <c r="G34" s="3">
        <v>950</v>
      </c>
      <c r="H34" s="3">
        <v>25</v>
      </c>
      <c r="I34" s="3" t="s">
        <v>9</v>
      </c>
      <c r="J34" s="25" t="str">
        <f t="shared" si="0"/>
        <v>HP Laptop</v>
      </c>
    </row>
    <row r="35" spans="1:10" ht="15.75" customHeight="1" x14ac:dyDescent="0.3">
      <c r="A35" s="4" t="s">
        <v>90</v>
      </c>
      <c r="B35" s="31">
        <v>9</v>
      </c>
      <c r="C35" s="31" t="s">
        <v>110</v>
      </c>
      <c r="D35" s="31" t="s">
        <v>125</v>
      </c>
      <c r="E35" s="4" t="s">
        <v>91</v>
      </c>
      <c r="F35" s="4" t="s">
        <v>92</v>
      </c>
      <c r="G35" s="4">
        <v>100</v>
      </c>
      <c r="H35" s="4">
        <v>20</v>
      </c>
      <c r="I35" s="4" t="s">
        <v>53</v>
      </c>
      <c r="J35" s="25" t="str">
        <f t="shared" si="0"/>
        <v>Casio Watch</v>
      </c>
    </row>
    <row r="36" spans="1:10" ht="15.75" customHeight="1" thickBot="1" x14ac:dyDescent="0.3"/>
    <row r="37" spans="1:10" ht="15.75" customHeight="1" x14ac:dyDescent="0.25">
      <c r="B37" s="33"/>
      <c r="C37" s="6"/>
      <c r="D37" s="6"/>
      <c r="E37" s="6"/>
      <c r="F37" s="7"/>
    </row>
    <row r="38" spans="1:10" ht="15.75" customHeight="1" x14ac:dyDescent="0.25">
      <c r="B38" s="10"/>
      <c r="C38" s="8"/>
      <c r="D38" s="8"/>
      <c r="E38" s="8"/>
      <c r="F38" s="9"/>
    </row>
    <row r="39" spans="1:10" ht="15.75" customHeight="1" x14ac:dyDescent="0.25">
      <c r="B39" s="51" t="s">
        <v>127</v>
      </c>
      <c r="C39" s="52"/>
      <c r="D39" s="52"/>
      <c r="E39" s="52"/>
      <c r="F39" s="53"/>
    </row>
    <row r="40" spans="1:10" ht="15.75" customHeight="1" x14ac:dyDescent="0.25">
      <c r="B40" s="10"/>
      <c r="C40" s="8"/>
      <c r="D40" s="8"/>
      <c r="E40" s="8"/>
      <c r="F40" s="9"/>
    </row>
    <row r="41" spans="1:10" ht="15.75" customHeight="1" x14ac:dyDescent="0.25">
      <c r="B41" s="34" t="s">
        <v>128</v>
      </c>
      <c r="C41" s="35"/>
      <c r="D41" s="35"/>
      <c r="E41" s="35"/>
      <c r="F41" s="36"/>
    </row>
    <row r="42" spans="1:10" ht="15.75" customHeight="1" x14ac:dyDescent="0.25">
      <c r="B42" s="10"/>
      <c r="C42" s="8"/>
      <c r="D42" s="8"/>
      <c r="E42" s="8"/>
      <c r="F42" s="9"/>
    </row>
    <row r="43" spans="1:10" ht="15.75" customHeight="1" x14ac:dyDescent="0.25">
      <c r="B43" s="10"/>
      <c r="C43" s="8"/>
      <c r="D43" s="8"/>
      <c r="E43" s="8"/>
      <c r="F43" s="9"/>
    </row>
    <row r="44" spans="1:10" ht="15.75" customHeight="1" thickBot="1" x14ac:dyDescent="0.3">
      <c r="B44" s="11"/>
      <c r="C44" s="12"/>
      <c r="D44" s="12"/>
      <c r="E44" s="12"/>
      <c r="F44" s="13"/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C1"/>
    <mergeCell ref="B39:F3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opLeftCell="A23" workbookViewId="0">
      <selection activeCell="J38" sqref="J38"/>
    </sheetView>
  </sheetViews>
  <sheetFormatPr defaultColWidth="12.6328125" defaultRowHeight="15" customHeight="1" x14ac:dyDescent="0.25"/>
  <cols>
    <col min="1" max="1" width="12.6328125" style="60"/>
    <col min="2" max="2" width="14.08984375" customWidth="1"/>
    <col min="4" max="4" width="12.6328125" style="37"/>
  </cols>
  <sheetData>
    <row r="1" spans="1:7" ht="15.75" customHeight="1" x14ac:dyDescent="0.3">
      <c r="A1" s="57" t="s">
        <v>0</v>
      </c>
      <c r="B1" s="1" t="s">
        <v>1</v>
      </c>
      <c r="C1" s="1" t="s">
        <v>2</v>
      </c>
      <c r="D1" s="38" t="s">
        <v>3</v>
      </c>
      <c r="E1" s="1" t="s">
        <v>4</v>
      </c>
      <c r="F1" s="1" t="s">
        <v>5</v>
      </c>
      <c r="G1" s="62" t="s">
        <v>132</v>
      </c>
    </row>
    <row r="2" spans="1:7" ht="15.75" customHeight="1" x14ac:dyDescent="0.3">
      <c r="A2" s="61" t="s">
        <v>6</v>
      </c>
      <c r="B2" s="3" t="s">
        <v>7</v>
      </c>
      <c r="C2" s="3" t="s">
        <v>8</v>
      </c>
      <c r="D2" s="39">
        <v>1000</v>
      </c>
      <c r="E2" s="3">
        <v>30</v>
      </c>
      <c r="F2" s="3" t="s">
        <v>9</v>
      </c>
      <c r="G2" s="41" t="str">
        <f>TEXT(A2,"MM/DD/YYYY")</f>
        <v>28-JAN-US</v>
      </c>
    </row>
    <row r="3" spans="1:7" ht="15.75" customHeight="1" x14ac:dyDescent="0.3">
      <c r="A3" s="59" t="s">
        <v>10</v>
      </c>
      <c r="B3" s="4" t="s">
        <v>11</v>
      </c>
      <c r="C3" s="4" t="s">
        <v>12</v>
      </c>
      <c r="D3" s="40">
        <v>80</v>
      </c>
      <c r="E3" s="4">
        <v>15</v>
      </c>
      <c r="F3" s="4" t="s">
        <v>13</v>
      </c>
      <c r="G3" s="41" t="str">
        <f t="shared" ref="G3:G35" si="0">TEXT(A3,"MM/DD/YYYY")</f>
        <v>15-FEB-US</v>
      </c>
    </row>
    <row r="4" spans="1:7" ht="15.75" customHeight="1" x14ac:dyDescent="0.3">
      <c r="A4" s="58" t="s">
        <v>14</v>
      </c>
      <c r="B4" s="3" t="s">
        <v>15</v>
      </c>
      <c r="C4" s="3" t="s">
        <v>16</v>
      </c>
      <c r="D4" s="39">
        <v>130</v>
      </c>
      <c r="E4" s="3">
        <v>40</v>
      </c>
      <c r="F4" s="3" t="s">
        <v>17</v>
      </c>
      <c r="G4" s="41" t="str">
        <f t="shared" si="0"/>
        <v>03-MAR-US</v>
      </c>
    </row>
    <row r="5" spans="1:7" ht="15.75" customHeight="1" x14ac:dyDescent="0.3">
      <c r="A5" s="59" t="s">
        <v>18</v>
      </c>
      <c r="B5" s="4" t="s">
        <v>19</v>
      </c>
      <c r="C5" s="4" t="s">
        <v>20</v>
      </c>
      <c r="D5" s="40">
        <v>900</v>
      </c>
      <c r="E5" s="4">
        <v>25</v>
      </c>
      <c r="F5" s="4" t="s">
        <v>9</v>
      </c>
      <c r="G5" s="41" t="str">
        <f t="shared" si="0"/>
        <v>11-APR-US</v>
      </c>
    </row>
    <row r="6" spans="1:7" ht="15.75" customHeight="1" x14ac:dyDescent="0.3">
      <c r="A6" s="58" t="s">
        <v>21</v>
      </c>
      <c r="B6" s="3" t="s">
        <v>22</v>
      </c>
      <c r="C6" s="3" t="s">
        <v>23</v>
      </c>
      <c r="D6" s="39">
        <v>70</v>
      </c>
      <c r="E6" s="3">
        <v>20</v>
      </c>
      <c r="F6" s="3" t="s">
        <v>24</v>
      </c>
      <c r="G6" s="41" t="str">
        <f t="shared" si="0"/>
        <v>22-MAY-US</v>
      </c>
    </row>
    <row r="7" spans="1:7" ht="15.75" customHeight="1" x14ac:dyDescent="0.3">
      <c r="A7" s="59" t="s">
        <v>25</v>
      </c>
      <c r="B7" s="4" t="s">
        <v>26</v>
      </c>
      <c r="C7" s="4" t="s">
        <v>27</v>
      </c>
      <c r="D7" s="40">
        <v>200</v>
      </c>
      <c r="E7" s="4">
        <v>45</v>
      </c>
      <c r="F7" s="4" t="s">
        <v>9</v>
      </c>
      <c r="G7" s="41" t="str">
        <f t="shared" si="0"/>
        <v>07-JUN-UK</v>
      </c>
    </row>
    <row r="8" spans="1:7" ht="15.75" customHeight="1" x14ac:dyDescent="0.3">
      <c r="A8" s="58" t="s">
        <v>28</v>
      </c>
      <c r="B8" s="3" t="s">
        <v>29</v>
      </c>
      <c r="C8" s="3" t="s">
        <v>30</v>
      </c>
      <c r="D8" s="39">
        <v>30</v>
      </c>
      <c r="E8" s="3">
        <v>5</v>
      </c>
      <c r="F8" s="3" t="s">
        <v>13</v>
      </c>
      <c r="G8" s="41" t="str">
        <f t="shared" si="0"/>
        <v>19-JUL-UK</v>
      </c>
    </row>
    <row r="9" spans="1:7" ht="15.75" customHeight="1" x14ac:dyDescent="0.3">
      <c r="A9" s="59" t="s">
        <v>31</v>
      </c>
      <c r="B9" s="4" t="s">
        <v>32</v>
      </c>
      <c r="C9" s="4" t="s">
        <v>33</v>
      </c>
      <c r="D9" s="40">
        <v>90</v>
      </c>
      <c r="E9" s="4">
        <v>35</v>
      </c>
      <c r="F9" s="4" t="s">
        <v>17</v>
      </c>
      <c r="G9" s="41" t="str">
        <f t="shared" si="0"/>
        <v>23-AUG-UK</v>
      </c>
    </row>
    <row r="10" spans="1:7" ht="15.75" customHeight="1" x14ac:dyDescent="0.3">
      <c r="A10" s="58" t="s">
        <v>34</v>
      </c>
      <c r="B10" s="3" t="s">
        <v>35</v>
      </c>
      <c r="C10" s="3" t="s">
        <v>36</v>
      </c>
      <c r="D10" s="39">
        <v>500</v>
      </c>
      <c r="E10" s="3">
        <v>50</v>
      </c>
      <c r="F10" s="3" t="s">
        <v>9</v>
      </c>
      <c r="G10" s="41" t="str">
        <f t="shared" si="0"/>
        <v>05-SEP-UK</v>
      </c>
    </row>
    <row r="11" spans="1:7" ht="15.75" customHeight="1" x14ac:dyDescent="0.3">
      <c r="A11" s="59" t="s">
        <v>37</v>
      </c>
      <c r="B11" s="4" t="s">
        <v>38</v>
      </c>
      <c r="C11" s="4" t="s">
        <v>39</v>
      </c>
      <c r="D11" s="40">
        <v>130</v>
      </c>
      <c r="E11" s="4">
        <v>10</v>
      </c>
      <c r="F11" s="4" t="s">
        <v>24</v>
      </c>
      <c r="G11" s="41" t="str">
        <f t="shared" si="0"/>
        <v>14-OCT-UK</v>
      </c>
    </row>
    <row r="12" spans="1:7" ht="15.75" customHeight="1" x14ac:dyDescent="0.3">
      <c r="A12" s="58" t="s">
        <v>40</v>
      </c>
      <c r="B12" s="3" t="s">
        <v>7</v>
      </c>
      <c r="C12" s="3" t="s">
        <v>41</v>
      </c>
      <c r="D12" s="39">
        <v>950</v>
      </c>
      <c r="E12" s="3">
        <v>25</v>
      </c>
      <c r="F12" s="3" t="s">
        <v>9</v>
      </c>
      <c r="G12" s="41" t="str">
        <f t="shared" si="0"/>
        <v>17-JUN-IN</v>
      </c>
    </row>
    <row r="13" spans="1:7" ht="15.75" customHeight="1" x14ac:dyDescent="0.3">
      <c r="A13" s="59" t="s">
        <v>42</v>
      </c>
      <c r="B13" s="4" t="s">
        <v>11</v>
      </c>
      <c r="C13" s="4" t="s">
        <v>30</v>
      </c>
      <c r="D13" s="40">
        <v>90</v>
      </c>
      <c r="E13" s="4">
        <v>40</v>
      </c>
      <c r="F13" s="4" t="s">
        <v>13</v>
      </c>
      <c r="G13" s="41" t="str">
        <f t="shared" si="0"/>
        <v>25-NOV-AU</v>
      </c>
    </row>
    <row r="14" spans="1:7" ht="15.75" customHeight="1" x14ac:dyDescent="0.3">
      <c r="A14" s="58" t="s">
        <v>43</v>
      </c>
      <c r="B14" s="3" t="s">
        <v>15</v>
      </c>
      <c r="C14" s="3" t="s">
        <v>44</v>
      </c>
      <c r="D14" s="39">
        <v>120</v>
      </c>
      <c r="E14" s="3">
        <v>35</v>
      </c>
      <c r="F14" s="3" t="s">
        <v>17</v>
      </c>
      <c r="G14" s="41" t="str">
        <f t="shared" si="0"/>
        <v>08-DEC-DE</v>
      </c>
    </row>
    <row r="15" spans="1:7" ht="15.75" customHeight="1" x14ac:dyDescent="0.3">
      <c r="A15" s="59" t="s">
        <v>45</v>
      </c>
      <c r="B15" s="4" t="s">
        <v>46</v>
      </c>
      <c r="C15" s="4" t="s">
        <v>47</v>
      </c>
      <c r="D15" s="40">
        <v>150</v>
      </c>
      <c r="E15" s="4">
        <v>15</v>
      </c>
      <c r="F15" s="4" t="s">
        <v>9</v>
      </c>
      <c r="G15" s="41" t="str">
        <f t="shared" si="0"/>
        <v>18-FEB-CA</v>
      </c>
    </row>
    <row r="16" spans="1:7" ht="15.75" customHeight="1" x14ac:dyDescent="0.3">
      <c r="A16" s="58" t="s">
        <v>48</v>
      </c>
      <c r="B16" s="3" t="s">
        <v>26</v>
      </c>
      <c r="C16" s="3" t="s">
        <v>49</v>
      </c>
      <c r="D16" s="39">
        <v>250</v>
      </c>
      <c r="E16" s="3">
        <v>20</v>
      </c>
      <c r="F16" s="3" t="s">
        <v>9</v>
      </c>
      <c r="G16" s="41" t="str">
        <f t="shared" si="0"/>
        <v>16-APR-ES</v>
      </c>
    </row>
    <row r="17" spans="1:7" ht="15.75" customHeight="1" x14ac:dyDescent="0.3">
      <c r="A17" s="59" t="s">
        <v>50</v>
      </c>
      <c r="B17" s="4" t="s">
        <v>51</v>
      </c>
      <c r="C17" s="4" t="s">
        <v>52</v>
      </c>
      <c r="D17" s="40">
        <v>50</v>
      </c>
      <c r="E17" s="4">
        <v>35</v>
      </c>
      <c r="F17" s="4" t="s">
        <v>53</v>
      </c>
      <c r="G17" s="41" t="str">
        <f t="shared" si="0"/>
        <v>21-AUG-CA</v>
      </c>
    </row>
    <row r="18" spans="1:7" ht="15.75" customHeight="1" x14ac:dyDescent="0.3">
      <c r="A18" s="58" t="s">
        <v>54</v>
      </c>
      <c r="B18" s="3" t="s">
        <v>46</v>
      </c>
      <c r="C18" s="3" t="s">
        <v>55</v>
      </c>
      <c r="D18" s="39">
        <v>160</v>
      </c>
      <c r="E18" s="3">
        <v>15</v>
      </c>
      <c r="F18" s="3" t="s">
        <v>9</v>
      </c>
      <c r="G18" s="41" t="str">
        <f t="shared" si="0"/>
        <v>20-AUG-CN</v>
      </c>
    </row>
    <row r="19" spans="1:7" ht="15.75" customHeight="1" x14ac:dyDescent="0.3">
      <c r="A19" s="59" t="s">
        <v>56</v>
      </c>
      <c r="B19" s="4" t="s">
        <v>7</v>
      </c>
      <c r="C19" s="4" t="s">
        <v>57</v>
      </c>
      <c r="D19" s="40">
        <v>980</v>
      </c>
      <c r="E19" s="4">
        <v>10</v>
      </c>
      <c r="F19" s="4" t="s">
        <v>9</v>
      </c>
      <c r="G19" s="41" t="str">
        <f t="shared" si="0"/>
        <v>27-JAN-IT</v>
      </c>
    </row>
    <row r="20" spans="1:7" ht="15.75" customHeight="1" x14ac:dyDescent="0.3">
      <c r="A20" s="58" t="s">
        <v>58</v>
      </c>
      <c r="B20" s="3" t="s">
        <v>59</v>
      </c>
      <c r="C20" s="3" t="s">
        <v>60</v>
      </c>
      <c r="D20" s="39">
        <v>150</v>
      </c>
      <c r="E20" s="3">
        <v>15</v>
      </c>
      <c r="F20" s="3" t="s">
        <v>13</v>
      </c>
      <c r="G20" s="41" t="str">
        <f t="shared" si="0"/>
        <v>01-MAR-UK</v>
      </c>
    </row>
    <row r="21" spans="1:7" ht="15.75" customHeight="1" x14ac:dyDescent="0.3">
      <c r="A21" s="59" t="s">
        <v>61</v>
      </c>
      <c r="B21" s="4" t="s">
        <v>62</v>
      </c>
      <c r="C21" s="4" t="s">
        <v>63</v>
      </c>
      <c r="D21" s="40">
        <v>200</v>
      </c>
      <c r="E21" s="4">
        <v>10</v>
      </c>
      <c r="F21" s="4" t="s">
        <v>24</v>
      </c>
      <c r="G21" s="41" t="str">
        <f t="shared" si="0"/>
        <v>14-AUG-US</v>
      </c>
    </row>
    <row r="22" spans="1:7" ht="15.75" customHeight="1" x14ac:dyDescent="0.3">
      <c r="A22" s="58" t="s">
        <v>64</v>
      </c>
      <c r="B22" s="3" t="s">
        <v>65</v>
      </c>
      <c r="C22" s="3" t="s">
        <v>66</v>
      </c>
      <c r="D22" s="39">
        <v>700</v>
      </c>
      <c r="E22" s="3">
        <v>50</v>
      </c>
      <c r="F22" s="3" t="s">
        <v>9</v>
      </c>
      <c r="G22" s="41" t="str">
        <f t="shared" si="0"/>
        <v>14-MAY-RU</v>
      </c>
    </row>
    <row r="23" spans="1:7" ht="15.75" customHeight="1" x14ac:dyDescent="0.3">
      <c r="A23" s="59" t="s">
        <v>67</v>
      </c>
      <c r="B23" s="4" t="s">
        <v>68</v>
      </c>
      <c r="C23" s="4" t="s">
        <v>69</v>
      </c>
      <c r="D23" s="40">
        <v>80</v>
      </c>
      <c r="E23" s="4">
        <v>20</v>
      </c>
      <c r="F23" s="4" t="s">
        <v>17</v>
      </c>
      <c r="G23" s="41" t="str">
        <f>TEXT(A23,"MM/DD/YYYY")</f>
        <v>09-JAN-CA</v>
      </c>
    </row>
    <row r="24" spans="1:7" ht="15.75" customHeight="1" x14ac:dyDescent="0.3">
      <c r="A24" s="58" t="s">
        <v>70</v>
      </c>
      <c r="B24" s="3" t="s">
        <v>71</v>
      </c>
      <c r="C24" s="3" t="s">
        <v>72</v>
      </c>
      <c r="D24" s="39">
        <v>150</v>
      </c>
      <c r="E24" s="3">
        <v>30</v>
      </c>
      <c r="F24" s="3" t="s">
        <v>9</v>
      </c>
      <c r="G24" s="41" t="str">
        <f t="shared" si="0"/>
        <v>19-JUL-BR</v>
      </c>
    </row>
    <row r="25" spans="1:7" ht="15.75" customHeight="1" x14ac:dyDescent="0.3">
      <c r="A25" s="59" t="s">
        <v>50</v>
      </c>
      <c r="B25" s="4" t="s">
        <v>51</v>
      </c>
      <c r="C25" s="4" t="s">
        <v>52</v>
      </c>
      <c r="D25" s="40">
        <v>50</v>
      </c>
      <c r="E25" s="4">
        <v>35</v>
      </c>
      <c r="F25" s="4" t="s">
        <v>53</v>
      </c>
      <c r="G25" s="41" t="str">
        <f t="shared" si="0"/>
        <v>21-AUG-CA</v>
      </c>
    </row>
    <row r="26" spans="1:7" ht="15.75" customHeight="1" x14ac:dyDescent="0.3">
      <c r="A26" s="58" t="s">
        <v>73</v>
      </c>
      <c r="B26" s="3" t="s">
        <v>19</v>
      </c>
      <c r="C26" s="3" t="s">
        <v>74</v>
      </c>
      <c r="D26" s="39">
        <v>800</v>
      </c>
      <c r="E26" s="3">
        <v>45</v>
      </c>
      <c r="F26" s="3" t="s">
        <v>9</v>
      </c>
      <c r="G26" s="41" t="str">
        <f t="shared" si="0"/>
        <v>29-SEP-CA</v>
      </c>
    </row>
    <row r="27" spans="1:7" ht="15.75" customHeight="1" x14ac:dyDescent="0.3">
      <c r="A27" s="59" t="s">
        <v>75</v>
      </c>
      <c r="B27" s="4" t="s">
        <v>59</v>
      </c>
      <c r="C27" s="4" t="s">
        <v>76</v>
      </c>
      <c r="D27" s="40">
        <v>130</v>
      </c>
      <c r="E27" s="4">
        <v>25</v>
      </c>
      <c r="F27" s="4" t="s">
        <v>13</v>
      </c>
      <c r="G27" s="41" t="str">
        <f t="shared" si="0"/>
        <v>03-JUN-CA</v>
      </c>
    </row>
    <row r="28" spans="1:7" ht="15.75" customHeight="1" x14ac:dyDescent="0.3">
      <c r="A28" s="58" t="s">
        <v>77</v>
      </c>
      <c r="B28" s="3" t="s">
        <v>32</v>
      </c>
      <c r="C28" s="3" t="s">
        <v>78</v>
      </c>
      <c r="D28" s="39">
        <v>400</v>
      </c>
      <c r="E28" s="3">
        <v>40</v>
      </c>
      <c r="F28" s="3" t="s">
        <v>17</v>
      </c>
      <c r="G28" s="41" t="str">
        <f t="shared" si="0"/>
        <v>11-JUL-CA</v>
      </c>
    </row>
    <row r="29" spans="1:7" ht="15.75" customHeight="1" x14ac:dyDescent="0.3">
      <c r="A29" s="59" t="s">
        <v>48</v>
      </c>
      <c r="B29" s="4" t="s">
        <v>26</v>
      </c>
      <c r="C29" s="4" t="s">
        <v>49</v>
      </c>
      <c r="D29" s="40">
        <v>230</v>
      </c>
      <c r="E29" s="4">
        <v>20</v>
      </c>
      <c r="F29" s="4" t="s">
        <v>9</v>
      </c>
      <c r="G29" s="41" t="str">
        <f t="shared" si="0"/>
        <v>16-APR-ES</v>
      </c>
    </row>
    <row r="30" spans="1:7" ht="15.75" customHeight="1" x14ac:dyDescent="0.3">
      <c r="A30" s="58" t="s">
        <v>79</v>
      </c>
      <c r="B30" s="3" t="s">
        <v>80</v>
      </c>
      <c r="C30" s="3" t="s">
        <v>81</v>
      </c>
      <c r="D30" s="39">
        <v>60</v>
      </c>
      <c r="E30" s="3">
        <v>30</v>
      </c>
      <c r="F30" s="3" t="s">
        <v>13</v>
      </c>
      <c r="G30" s="41" t="str">
        <f t="shared" si="0"/>
        <v>07-MAR-CA</v>
      </c>
    </row>
    <row r="31" spans="1:7" ht="15.75" customHeight="1" x14ac:dyDescent="0.3">
      <c r="A31" s="59" t="s">
        <v>82</v>
      </c>
      <c r="B31" s="4" t="s">
        <v>83</v>
      </c>
      <c r="C31" s="4" t="s">
        <v>84</v>
      </c>
      <c r="D31" s="40">
        <v>40</v>
      </c>
      <c r="E31" s="4">
        <v>10</v>
      </c>
      <c r="F31" s="4" t="s">
        <v>17</v>
      </c>
      <c r="G31" s="41" t="str">
        <f t="shared" si="0"/>
        <v>13-APR-CA</v>
      </c>
    </row>
    <row r="32" spans="1:7" ht="15.75" customHeight="1" x14ac:dyDescent="0.3">
      <c r="A32" s="58" t="s">
        <v>85</v>
      </c>
      <c r="B32" s="3" t="s">
        <v>71</v>
      </c>
      <c r="C32" s="3" t="s">
        <v>86</v>
      </c>
      <c r="D32" s="39">
        <v>130</v>
      </c>
      <c r="E32" s="3">
        <v>5</v>
      </c>
      <c r="F32" s="3" t="s">
        <v>9</v>
      </c>
      <c r="G32" s="41" t="str">
        <f t="shared" si="0"/>
        <v>24-MAY-CA</v>
      </c>
    </row>
    <row r="33" spans="1:8" ht="15.75" customHeight="1" x14ac:dyDescent="0.3">
      <c r="A33" s="59" t="s">
        <v>87</v>
      </c>
      <c r="B33" s="4" t="s">
        <v>88</v>
      </c>
      <c r="C33" s="4" t="s">
        <v>89</v>
      </c>
      <c r="D33" s="40">
        <v>50</v>
      </c>
      <c r="E33" s="4">
        <v>50</v>
      </c>
      <c r="F33" s="4" t="s">
        <v>13</v>
      </c>
      <c r="G33" s="41" t="str">
        <f t="shared" si="0"/>
        <v>02-DEC-CA</v>
      </c>
    </row>
    <row r="34" spans="1:8" ht="15.75" customHeight="1" x14ac:dyDescent="0.3">
      <c r="A34" s="58" t="s">
        <v>40</v>
      </c>
      <c r="B34" s="3" t="s">
        <v>7</v>
      </c>
      <c r="C34" s="3" t="s">
        <v>41</v>
      </c>
      <c r="D34" s="39">
        <v>950</v>
      </c>
      <c r="E34" s="3">
        <v>25</v>
      </c>
      <c r="F34" s="3" t="s">
        <v>9</v>
      </c>
      <c r="G34" s="41" t="str">
        <f t="shared" si="0"/>
        <v>17-JUN-IN</v>
      </c>
    </row>
    <row r="35" spans="1:8" ht="15.75" customHeight="1" x14ac:dyDescent="0.3">
      <c r="A35" s="59" t="s">
        <v>90</v>
      </c>
      <c r="B35" s="4" t="s">
        <v>91</v>
      </c>
      <c r="C35" s="4" t="s">
        <v>92</v>
      </c>
      <c r="D35" s="40">
        <v>100</v>
      </c>
      <c r="E35" s="4">
        <v>20</v>
      </c>
      <c r="F35" s="4" t="s">
        <v>53</v>
      </c>
      <c r="G35" s="41" t="str">
        <f t="shared" si="0"/>
        <v>09-JUL-FR</v>
      </c>
    </row>
    <row r="36" spans="1:8" ht="15.75" customHeight="1" x14ac:dyDescent="0.25"/>
    <row r="37" spans="1:8" ht="15.75" customHeight="1" x14ac:dyDescent="0.25"/>
    <row r="38" spans="1:8" ht="15.75" customHeight="1" x14ac:dyDescent="0.25">
      <c r="B38" s="54" t="s">
        <v>129</v>
      </c>
      <c r="C38" s="54"/>
      <c r="D38" s="54"/>
      <c r="E38" s="54"/>
      <c r="F38" s="54"/>
      <c r="G38" s="54"/>
      <c r="H38" s="54"/>
    </row>
    <row r="39" spans="1:8" ht="15.75" customHeight="1" x14ac:dyDescent="0.25"/>
    <row r="40" spans="1:8" ht="15.75" customHeight="1" x14ac:dyDescent="0.3">
      <c r="B40" s="55" t="s">
        <v>133</v>
      </c>
      <c r="C40" s="55"/>
      <c r="D40" s="55"/>
      <c r="E40" s="55"/>
      <c r="F40" s="55"/>
      <c r="G40" s="55"/>
      <c r="H40" s="55"/>
    </row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38:H38"/>
    <mergeCell ref="B40:H4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topLeftCell="A10" workbookViewId="0">
      <selection activeCell="I42" sqref="I42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9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9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9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9" ht="15.75" customHeight="1" x14ac:dyDescent="0.25"/>
    <row r="37" spans="1:9" ht="15.75" customHeight="1" x14ac:dyDescent="0.25"/>
    <row r="38" spans="1:9" ht="15.75" customHeight="1" x14ac:dyDescent="0.3">
      <c r="B38" s="55" t="s">
        <v>130</v>
      </c>
      <c r="C38" s="55"/>
      <c r="D38" s="55"/>
      <c r="E38" s="55"/>
      <c r="F38" s="55"/>
    </row>
    <row r="39" spans="1:9" ht="15.75" customHeight="1" x14ac:dyDescent="0.25"/>
    <row r="40" spans="1:9" ht="27" customHeight="1" x14ac:dyDescent="0.3">
      <c r="B40" s="56" t="s">
        <v>131</v>
      </c>
      <c r="C40" s="56"/>
      <c r="D40" s="56"/>
      <c r="E40" s="56"/>
      <c r="F40" s="56"/>
      <c r="G40" s="56"/>
      <c r="H40" s="56"/>
      <c r="I40" s="56"/>
    </row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38:F38"/>
    <mergeCell ref="B40:I40"/>
  </mergeCells>
  <conditionalFormatting sqref="D1:D37 D39 D41:D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{8A675946-F5FE-4852-90FF-33F94021BF50}</x14:id>
        </ext>
      </extLst>
    </cfRule>
  </conditionalFormatting>
  <conditionalFormatting sqref="F1:F39 F41:F1048576">
    <cfRule type="expression" dxfId="4" priority="4">
      <formula>$B2="Electronics"</formula>
    </cfRule>
    <cfRule type="expression" dxfId="5" priority="3">
      <formula>$F2="Electronics"</formula>
    </cfRule>
    <cfRule type="expression" dxfId="6" priority="2">
      <formula>$F2:F35="Electronics"</formula>
    </cfRule>
    <cfRule type="expression" dxfId="3" priority="1">
      <formula>SEARCH("Electronics", $F2:F35)&gt;0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75946-F5FE-4852-90FF-33F94021BF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D1:D37 D39 D41:D1048576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Correcting Inconsistent Data</vt:lpstr>
      <vt:lpstr>Removing Duplicates</vt:lpstr>
      <vt:lpstr>Spitting &amp; Merging Data</vt:lpstr>
      <vt:lpstr>Number Formatting</vt:lpstr>
      <vt:lpstr>Conditional Formatting</vt:lpstr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2026-05-06T11:06:22Z</dcterms:modified>
</cp:coreProperties>
</file>